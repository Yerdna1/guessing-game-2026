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11.xlsrvcdf" ContentType="image/jpeg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77918693\AppData\Local\Box\Box Edit\Documents\N2zE2I9YrUqKf2BKzLKjOg==\"/>
    </mc:Choice>
  </mc:AlternateContent>
  <xr:revisionPtr revIDLastSave="112" documentId="13_ncr:1_{1E6F9D41-A323-4B1C-ADD0-87845CACC620}" xr6:coauthVersionLast="47" xr6:coauthVersionMax="47" xr10:uidLastSave="{1C59F347-5FAE-4BEB-BBD4-64101F9BBA60}"/>
  <bookViews>
    <workbookView xWindow="-96" yWindow="-96" windowWidth="23232" windowHeight="13872" xr2:uid="{00000000-000D-0000-FFFF-FFFF00000000}"/>
  </bookViews>
  <sheets>
    <sheet name="Sheet1" sheetId="1" r:id="rId1"/>
    <sheet name="Standings" sheetId="5" r:id="rId2"/>
  </sheets>
  <definedNames>
    <definedName name="_xlnm._FilterDatabase" localSheetId="0" hidden="1">Sheet1!$B$6:$C$107</definedName>
    <definedName name="_xlnm._FilterDatabase" localSheetId="1" hidden="1">Standings!$B$5:$I$34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5" l="1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I25" i="5"/>
  <c r="H25" i="5"/>
  <c r="H21" i="5"/>
  <c r="G25" i="5"/>
  <c r="F25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C6" i="5"/>
  <c r="C7" i="5"/>
  <c r="C8" i="5"/>
  <c r="I8" i="5" s="1"/>
  <c r="C9" i="5"/>
  <c r="C10" i="5"/>
  <c r="C11" i="5"/>
  <c r="H11" i="5" s="1"/>
  <c r="C12" i="5"/>
  <c r="H12" i="5" s="1"/>
  <c r="C13" i="5"/>
  <c r="C14" i="5"/>
  <c r="H14" i="5" s="1"/>
  <c r="C15" i="5"/>
  <c r="H15" i="5" s="1"/>
  <c r="C16" i="5"/>
  <c r="H16" i="5" s="1"/>
  <c r="C17" i="5"/>
  <c r="I17" i="5" s="1"/>
  <c r="C18" i="5"/>
  <c r="I18" i="5" s="1"/>
  <c r="C19" i="5"/>
  <c r="I19" i="5" s="1"/>
  <c r="C20" i="5"/>
  <c r="I20" i="5" s="1"/>
  <c r="C21" i="5"/>
  <c r="I21" i="5" s="1"/>
  <c r="C22" i="5"/>
  <c r="I22" i="5" s="1"/>
  <c r="C23" i="5"/>
  <c r="I23" i="5" s="1"/>
  <c r="C24" i="5"/>
  <c r="H24" i="5" s="1"/>
  <c r="C5" i="5"/>
  <c r="B6" i="5"/>
  <c r="B7" i="5"/>
  <c r="B8" i="5"/>
  <c r="G8" i="5" s="1"/>
  <c r="B9" i="5"/>
  <c r="B10" i="5"/>
  <c r="B11" i="5"/>
  <c r="G11" i="5" s="1"/>
  <c r="B12" i="5"/>
  <c r="B13" i="5"/>
  <c r="B14" i="5"/>
  <c r="G14" i="5" s="1"/>
  <c r="B15" i="5"/>
  <c r="G15" i="5" s="1"/>
  <c r="B16" i="5"/>
  <c r="G16" i="5" s="1"/>
  <c r="B17" i="5"/>
  <c r="F17" i="5" s="1"/>
  <c r="B18" i="5"/>
  <c r="G18" i="5" s="1"/>
  <c r="B19" i="5"/>
  <c r="F19" i="5" s="1"/>
  <c r="B20" i="5"/>
  <c r="G20" i="5" s="1"/>
  <c r="B21" i="5"/>
  <c r="G21" i="5" s="1"/>
  <c r="B22" i="5"/>
  <c r="G22" i="5" s="1"/>
  <c r="B23" i="5"/>
  <c r="G23" i="5" s="1"/>
  <c r="B24" i="5"/>
  <c r="F24" i="5" s="1"/>
  <c r="B5" i="5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7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G7" i="1"/>
  <c r="BE7" i="1"/>
  <c r="BC7" i="1"/>
  <c r="BA7" i="1"/>
  <c r="CA7" i="1"/>
  <c r="BX7" i="1"/>
  <c r="BU7" i="1"/>
  <c r="BS7" i="1"/>
  <c r="BP7" i="1"/>
  <c r="BN7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7" i="1"/>
  <c r="E8" i="1"/>
  <c r="E6" i="5" s="1"/>
  <c r="E9" i="1"/>
  <c r="E7" i="5" s="1"/>
  <c r="E10" i="1"/>
  <c r="E8" i="5" s="1"/>
  <c r="E11" i="1"/>
  <c r="E12" i="1"/>
  <c r="E10" i="5" s="1"/>
  <c r="E13" i="1"/>
  <c r="E11" i="5" s="1"/>
  <c r="E14" i="1"/>
  <c r="E12" i="5" s="1"/>
  <c r="E15" i="1"/>
  <c r="E13" i="5" s="1"/>
  <c r="E16" i="1"/>
  <c r="E14" i="5" s="1"/>
  <c r="E17" i="1"/>
  <c r="E15" i="5" s="1"/>
  <c r="E18" i="1"/>
  <c r="E16" i="5" s="1"/>
  <c r="E19" i="1"/>
  <c r="E17" i="5" s="1"/>
  <c r="E20" i="1"/>
  <c r="E18" i="5" s="1"/>
  <c r="E21" i="1"/>
  <c r="E19" i="5" s="1"/>
  <c r="E22" i="1"/>
  <c r="E20" i="5" s="1"/>
  <c r="E23" i="1"/>
  <c r="E24" i="1"/>
  <c r="E25" i="1"/>
  <c r="E26" i="1"/>
  <c r="E24" i="5" s="1"/>
  <c r="E27" i="1"/>
  <c r="E25" i="5" s="1"/>
  <c r="E28" i="1"/>
  <c r="E26" i="5" s="1"/>
  <c r="E29" i="1"/>
  <c r="E27" i="5" s="1"/>
  <c r="E30" i="1"/>
  <c r="E28" i="5" s="1"/>
  <c r="E31" i="1"/>
  <c r="E29" i="5" s="1"/>
  <c r="E32" i="1"/>
  <c r="E30" i="5" s="1"/>
  <c r="E33" i="1"/>
  <c r="E31" i="5" s="1"/>
  <c r="E34" i="1"/>
  <c r="E32" i="5" s="1"/>
  <c r="E35" i="1"/>
  <c r="E33" i="5" s="1"/>
  <c r="E36" i="1"/>
  <c r="E34" i="5" s="1"/>
  <c r="E37" i="1"/>
  <c r="E35" i="5" s="1"/>
  <c r="E38" i="1"/>
  <c r="E36" i="5" s="1"/>
  <c r="E39" i="1"/>
  <c r="E37" i="5" s="1"/>
  <c r="E40" i="1"/>
  <c r="E38" i="5" s="1"/>
  <c r="E41" i="1"/>
  <c r="E39" i="5" s="1"/>
  <c r="E42" i="1"/>
  <c r="E40" i="5" s="1"/>
  <c r="E43" i="1"/>
  <c r="E41" i="5" s="1"/>
  <c r="E44" i="1"/>
  <c r="E42" i="5" s="1"/>
  <c r="E45" i="1"/>
  <c r="E43" i="5" s="1"/>
  <c r="E46" i="1"/>
  <c r="E44" i="5" s="1"/>
  <c r="E47" i="1"/>
  <c r="E45" i="5" s="1"/>
  <c r="E48" i="1"/>
  <c r="E46" i="5" s="1"/>
  <c r="E49" i="1"/>
  <c r="E47" i="5" s="1"/>
  <c r="E50" i="1"/>
  <c r="E48" i="5" s="1"/>
  <c r="E51" i="1"/>
  <c r="E49" i="5" s="1"/>
  <c r="E52" i="1"/>
  <c r="E50" i="5" s="1"/>
  <c r="E53" i="1"/>
  <c r="E51" i="5" s="1"/>
  <c r="E54" i="1"/>
  <c r="E52" i="5" s="1"/>
  <c r="E55" i="1"/>
  <c r="E53" i="5" s="1"/>
  <c r="E56" i="1"/>
  <c r="E54" i="5" s="1"/>
  <c r="E57" i="1"/>
  <c r="E55" i="5" s="1"/>
  <c r="E58" i="1"/>
  <c r="E56" i="5" s="1"/>
  <c r="E59" i="1"/>
  <c r="E57" i="5" s="1"/>
  <c r="E60" i="1"/>
  <c r="E58" i="5" s="1"/>
  <c r="E61" i="1"/>
  <c r="E59" i="5" s="1"/>
  <c r="E62" i="1"/>
  <c r="E60" i="5" s="1"/>
  <c r="E63" i="1"/>
  <c r="E61" i="5" s="1"/>
  <c r="E64" i="1"/>
  <c r="E62" i="5" s="1"/>
  <c r="E65" i="1"/>
  <c r="E63" i="5" s="1"/>
  <c r="E66" i="1"/>
  <c r="E64" i="5" s="1"/>
  <c r="E67" i="1"/>
  <c r="E65" i="5" s="1"/>
  <c r="E68" i="1"/>
  <c r="E66" i="5" s="1"/>
  <c r="E69" i="1"/>
  <c r="E67" i="5" s="1"/>
  <c r="E70" i="1"/>
  <c r="E68" i="5" s="1"/>
  <c r="E71" i="1"/>
  <c r="E69" i="5" s="1"/>
  <c r="E72" i="1"/>
  <c r="E70" i="5" s="1"/>
  <c r="E73" i="1"/>
  <c r="E71" i="5" s="1"/>
  <c r="E74" i="1"/>
  <c r="E72" i="5" s="1"/>
  <c r="E75" i="1"/>
  <c r="E73" i="5" s="1"/>
  <c r="E76" i="1"/>
  <c r="E74" i="5" s="1"/>
  <c r="E77" i="1"/>
  <c r="E75" i="5" s="1"/>
  <c r="E78" i="1"/>
  <c r="E76" i="5" s="1"/>
  <c r="E79" i="1"/>
  <c r="E77" i="5" s="1"/>
  <c r="E80" i="1"/>
  <c r="E78" i="5" s="1"/>
  <c r="E81" i="1"/>
  <c r="E79" i="5" s="1"/>
  <c r="E82" i="1"/>
  <c r="E80" i="5" s="1"/>
  <c r="E83" i="1"/>
  <c r="E81" i="5" s="1"/>
  <c r="E84" i="1"/>
  <c r="E82" i="5" s="1"/>
  <c r="E85" i="1"/>
  <c r="E83" i="5" s="1"/>
  <c r="E86" i="1"/>
  <c r="E84" i="5" s="1"/>
  <c r="E87" i="1"/>
  <c r="E85" i="5" s="1"/>
  <c r="E88" i="1"/>
  <c r="E86" i="5" s="1"/>
  <c r="E89" i="1"/>
  <c r="E87" i="5" s="1"/>
  <c r="E90" i="1"/>
  <c r="E88" i="5" s="1"/>
  <c r="E91" i="1"/>
  <c r="E89" i="5" s="1"/>
  <c r="E92" i="1"/>
  <c r="E90" i="5" s="1"/>
  <c r="E93" i="1"/>
  <c r="E91" i="5" s="1"/>
  <c r="E94" i="1"/>
  <c r="E92" i="5" s="1"/>
  <c r="E95" i="1"/>
  <c r="E93" i="5" s="1"/>
  <c r="E96" i="1"/>
  <c r="E94" i="5" s="1"/>
  <c r="E97" i="1"/>
  <c r="E95" i="5" s="1"/>
  <c r="E98" i="1"/>
  <c r="E96" i="5" s="1"/>
  <c r="E99" i="1"/>
  <c r="E97" i="5" s="1"/>
  <c r="E100" i="1"/>
  <c r="E98" i="5" s="1"/>
  <c r="E101" i="1"/>
  <c r="E99" i="5" s="1"/>
  <c r="E102" i="1"/>
  <c r="E100" i="5" s="1"/>
  <c r="E103" i="1"/>
  <c r="E101" i="5" s="1"/>
  <c r="E104" i="1"/>
  <c r="E102" i="5" s="1"/>
  <c r="E105" i="1"/>
  <c r="E103" i="5" s="1"/>
  <c r="E106" i="1"/>
  <c r="E104" i="5" s="1"/>
  <c r="E107" i="1"/>
  <c r="E105" i="5" s="1"/>
  <c r="E7" i="1"/>
  <c r="AD7" i="1"/>
  <c r="H13" i="5" l="1"/>
  <c r="F16" i="5"/>
  <c r="F11" i="5"/>
  <c r="I24" i="5"/>
  <c r="E9" i="5"/>
  <c r="E23" i="5"/>
  <c r="E22" i="5"/>
  <c r="E21" i="5"/>
  <c r="F14" i="5"/>
  <c r="H20" i="5"/>
  <c r="E5" i="5"/>
  <c r="F15" i="5"/>
  <c r="H17" i="5"/>
  <c r="H8" i="5"/>
  <c r="F8" i="5"/>
  <c r="I16" i="5"/>
  <c r="G24" i="5"/>
  <c r="I11" i="5"/>
  <c r="G19" i="5"/>
  <c r="G17" i="5"/>
  <c r="H19" i="1"/>
  <c r="I15" i="5"/>
  <c r="I14" i="5"/>
  <c r="H10" i="5"/>
  <c r="F23" i="5"/>
  <c r="H9" i="5"/>
  <c r="F22" i="5"/>
  <c r="F21" i="5"/>
  <c r="H7" i="5"/>
  <c r="F20" i="5"/>
  <c r="F18" i="5"/>
  <c r="H23" i="5"/>
  <c r="H22" i="5"/>
  <c r="H80" i="1"/>
  <c r="H19" i="5"/>
  <c r="H18" i="5"/>
  <c r="H101" i="1"/>
  <c r="H95" i="1"/>
  <c r="H15" i="1"/>
  <c r="H28" i="1"/>
  <c r="H48" i="1"/>
  <c r="H68" i="1"/>
  <c r="H93" i="1"/>
  <c r="H8" i="1"/>
  <c r="H6" i="5" s="1"/>
  <c r="H104" i="1"/>
  <c r="H88" i="1"/>
  <c r="H55" i="1"/>
  <c r="H75" i="1"/>
  <c r="H35" i="1"/>
  <c r="H44" i="1"/>
  <c r="H64" i="1"/>
  <c r="H84" i="1"/>
  <c r="H33" i="1"/>
  <c r="H73" i="1"/>
  <c r="H53" i="1"/>
  <c r="H13" i="1"/>
  <c r="H38" i="1"/>
  <c r="H18" i="1"/>
  <c r="H99" i="1"/>
  <c r="H98" i="1"/>
  <c r="H78" i="1"/>
  <c r="H58" i="1"/>
  <c r="H65" i="1"/>
  <c r="H12" i="1"/>
  <c r="H70" i="1"/>
  <c r="H10" i="1"/>
  <c r="H50" i="1"/>
  <c r="H41" i="1"/>
  <c r="H21" i="1"/>
  <c r="H77" i="1"/>
  <c r="H57" i="1"/>
  <c r="H17" i="1"/>
  <c r="H46" i="1"/>
  <c r="H85" i="1"/>
  <c r="H105" i="1"/>
  <c r="H45" i="1"/>
  <c r="H25" i="1"/>
  <c r="H100" i="1"/>
  <c r="H22" i="1"/>
  <c r="H62" i="1"/>
  <c r="H42" i="1"/>
  <c r="H76" i="1"/>
  <c r="H56" i="1"/>
  <c r="H36" i="1"/>
  <c r="H16" i="1"/>
  <c r="H40" i="1"/>
  <c r="H20" i="1"/>
  <c r="H60" i="1"/>
  <c r="H103" i="1"/>
  <c r="H83" i="1"/>
  <c r="H61" i="1"/>
  <c r="H90" i="1"/>
  <c r="H30" i="1"/>
  <c r="H27" i="1"/>
  <c r="H26" i="1"/>
  <c r="H71" i="1"/>
  <c r="H51" i="1"/>
  <c r="H31" i="1"/>
  <c r="H11" i="1"/>
  <c r="H106" i="1"/>
  <c r="H86" i="1"/>
  <c r="H66" i="1"/>
  <c r="H102" i="1"/>
  <c r="H81" i="1"/>
  <c r="H87" i="1"/>
  <c r="H47" i="1"/>
  <c r="H37" i="1"/>
  <c r="H92" i="1"/>
  <c r="H72" i="1"/>
  <c r="H52" i="1"/>
  <c r="H67" i="1"/>
  <c r="H24" i="1"/>
  <c r="H97" i="1"/>
  <c r="H96" i="1"/>
  <c r="H82" i="1"/>
  <c r="H32" i="1"/>
  <c r="H91" i="1"/>
  <c r="H94" i="1"/>
  <c r="H63" i="1"/>
  <c r="H43" i="1"/>
  <c r="H23" i="1"/>
  <c r="H89" i="1"/>
  <c r="H79" i="1"/>
  <c r="H59" i="1"/>
  <c r="H39" i="1"/>
  <c r="H74" i="1"/>
  <c r="H54" i="1"/>
  <c r="H34" i="1"/>
  <c r="H14" i="1"/>
  <c r="H107" i="1"/>
  <c r="H69" i="1"/>
  <c r="H49" i="1"/>
  <c r="H29" i="1"/>
  <c r="H9" i="1"/>
  <c r="H7" i="1"/>
  <c r="H5" i="5" s="1"/>
  <c r="L7" i="1" l="1"/>
  <c r="N7" i="1"/>
  <c r="Q7" i="1"/>
  <c r="S7" i="1"/>
  <c r="U7" i="1"/>
  <c r="W7" i="1"/>
  <c r="Z7" i="1"/>
  <c r="AB7" i="1"/>
  <c r="AF7" i="1"/>
  <c r="AI7" i="1"/>
  <c r="AK7" i="1"/>
  <c r="AM7" i="1"/>
  <c r="AO7" i="1"/>
  <c r="AR7" i="1"/>
  <c r="AT7" i="1"/>
  <c r="AV7" i="1"/>
  <c r="AX7" i="1"/>
  <c r="L8" i="1"/>
  <c r="N8" i="1"/>
  <c r="Q8" i="1"/>
  <c r="S8" i="1"/>
  <c r="U8" i="1"/>
  <c r="W8" i="1"/>
  <c r="Z8" i="1"/>
  <c r="AB8" i="1"/>
  <c r="AD8" i="1"/>
  <c r="AF8" i="1"/>
  <c r="AI8" i="1"/>
  <c r="AK8" i="1"/>
  <c r="AM8" i="1"/>
  <c r="AO8" i="1"/>
  <c r="AR8" i="1"/>
  <c r="AT8" i="1"/>
  <c r="AV8" i="1"/>
  <c r="AX8" i="1"/>
  <c r="L9" i="1"/>
  <c r="N9" i="1"/>
  <c r="Q9" i="1"/>
  <c r="S9" i="1"/>
  <c r="U9" i="1"/>
  <c r="W9" i="1"/>
  <c r="Z9" i="1"/>
  <c r="AB9" i="1"/>
  <c r="AD9" i="1"/>
  <c r="AF9" i="1"/>
  <c r="AI9" i="1"/>
  <c r="AK9" i="1"/>
  <c r="AM9" i="1"/>
  <c r="AO9" i="1"/>
  <c r="AR9" i="1"/>
  <c r="AT9" i="1"/>
  <c r="AV9" i="1"/>
  <c r="AX9" i="1"/>
  <c r="L10" i="1"/>
  <c r="N10" i="1"/>
  <c r="Q10" i="1"/>
  <c r="S10" i="1"/>
  <c r="U10" i="1"/>
  <c r="W10" i="1"/>
  <c r="Z10" i="1"/>
  <c r="AB10" i="1"/>
  <c r="AD10" i="1"/>
  <c r="AF10" i="1"/>
  <c r="AI10" i="1"/>
  <c r="AK10" i="1"/>
  <c r="AM10" i="1"/>
  <c r="AO10" i="1"/>
  <c r="AR10" i="1"/>
  <c r="AT10" i="1"/>
  <c r="AV10" i="1"/>
  <c r="AX10" i="1"/>
  <c r="L11" i="1"/>
  <c r="N11" i="1"/>
  <c r="Q11" i="1"/>
  <c r="S11" i="1"/>
  <c r="U11" i="1"/>
  <c r="W11" i="1"/>
  <c r="Z11" i="1"/>
  <c r="AB11" i="1"/>
  <c r="AD11" i="1"/>
  <c r="AF11" i="1"/>
  <c r="AI11" i="1"/>
  <c r="AK11" i="1"/>
  <c r="AM11" i="1"/>
  <c r="AO11" i="1"/>
  <c r="AR11" i="1"/>
  <c r="AT11" i="1"/>
  <c r="AV11" i="1"/>
  <c r="AX11" i="1"/>
  <c r="L12" i="1"/>
  <c r="N12" i="1"/>
  <c r="Q12" i="1"/>
  <c r="S12" i="1"/>
  <c r="U12" i="1"/>
  <c r="W12" i="1"/>
  <c r="Z12" i="1"/>
  <c r="AB12" i="1"/>
  <c r="AD12" i="1"/>
  <c r="AF12" i="1"/>
  <c r="AI12" i="1"/>
  <c r="AK12" i="1"/>
  <c r="AM12" i="1"/>
  <c r="AO12" i="1"/>
  <c r="AR12" i="1"/>
  <c r="AT12" i="1"/>
  <c r="AV12" i="1"/>
  <c r="AX12" i="1"/>
  <c r="L13" i="1"/>
  <c r="N13" i="1"/>
  <c r="Q13" i="1"/>
  <c r="S13" i="1"/>
  <c r="U13" i="1"/>
  <c r="W13" i="1"/>
  <c r="Z13" i="1"/>
  <c r="AB13" i="1"/>
  <c r="AD13" i="1"/>
  <c r="AF13" i="1"/>
  <c r="AI13" i="1"/>
  <c r="AK13" i="1"/>
  <c r="AM13" i="1"/>
  <c r="AO13" i="1"/>
  <c r="AR13" i="1"/>
  <c r="AT13" i="1"/>
  <c r="AV13" i="1"/>
  <c r="AX13" i="1"/>
  <c r="L14" i="1"/>
  <c r="N14" i="1"/>
  <c r="Q14" i="1"/>
  <c r="S14" i="1"/>
  <c r="U14" i="1"/>
  <c r="W14" i="1"/>
  <c r="Z14" i="1"/>
  <c r="AB14" i="1"/>
  <c r="AD14" i="1"/>
  <c r="AF14" i="1"/>
  <c r="AI14" i="1"/>
  <c r="AK14" i="1"/>
  <c r="AM14" i="1"/>
  <c r="AO14" i="1"/>
  <c r="AR14" i="1"/>
  <c r="AT14" i="1"/>
  <c r="AV14" i="1"/>
  <c r="AX14" i="1"/>
  <c r="L15" i="1"/>
  <c r="N15" i="1"/>
  <c r="Q15" i="1"/>
  <c r="S15" i="1"/>
  <c r="U15" i="1"/>
  <c r="W15" i="1"/>
  <c r="Z15" i="1"/>
  <c r="AB15" i="1"/>
  <c r="AD15" i="1"/>
  <c r="AF15" i="1"/>
  <c r="AI15" i="1"/>
  <c r="AK15" i="1"/>
  <c r="AM15" i="1"/>
  <c r="AO15" i="1"/>
  <c r="AR15" i="1"/>
  <c r="AT15" i="1"/>
  <c r="AV15" i="1"/>
  <c r="AX15" i="1"/>
  <c r="L16" i="1"/>
  <c r="N16" i="1"/>
  <c r="Q16" i="1"/>
  <c r="S16" i="1"/>
  <c r="U16" i="1"/>
  <c r="W16" i="1"/>
  <c r="Z16" i="1"/>
  <c r="AB16" i="1"/>
  <c r="AD16" i="1"/>
  <c r="AF16" i="1"/>
  <c r="AI16" i="1"/>
  <c r="AK16" i="1"/>
  <c r="AM16" i="1"/>
  <c r="AO16" i="1"/>
  <c r="AR16" i="1"/>
  <c r="AT16" i="1"/>
  <c r="AV16" i="1"/>
  <c r="AX16" i="1"/>
  <c r="L17" i="1"/>
  <c r="N17" i="1"/>
  <c r="Q17" i="1"/>
  <c r="S17" i="1"/>
  <c r="U17" i="1"/>
  <c r="W17" i="1"/>
  <c r="Z17" i="1"/>
  <c r="AB17" i="1"/>
  <c r="AD17" i="1"/>
  <c r="AF17" i="1"/>
  <c r="AI17" i="1"/>
  <c r="AK17" i="1"/>
  <c r="AM17" i="1"/>
  <c r="AO17" i="1"/>
  <c r="AR17" i="1"/>
  <c r="AT17" i="1"/>
  <c r="AV17" i="1"/>
  <c r="AX17" i="1"/>
  <c r="L18" i="1"/>
  <c r="N18" i="1"/>
  <c r="Q18" i="1"/>
  <c r="S18" i="1"/>
  <c r="U18" i="1"/>
  <c r="W18" i="1"/>
  <c r="Z18" i="1"/>
  <c r="AB18" i="1"/>
  <c r="AD18" i="1"/>
  <c r="AF18" i="1"/>
  <c r="AI18" i="1"/>
  <c r="AK18" i="1"/>
  <c r="AM18" i="1"/>
  <c r="AO18" i="1"/>
  <c r="AR18" i="1"/>
  <c r="AT18" i="1"/>
  <c r="AV18" i="1"/>
  <c r="AX18" i="1"/>
  <c r="L19" i="1"/>
  <c r="N19" i="1"/>
  <c r="Q19" i="1"/>
  <c r="S19" i="1"/>
  <c r="U19" i="1"/>
  <c r="W19" i="1"/>
  <c r="Z19" i="1"/>
  <c r="AB19" i="1"/>
  <c r="AD19" i="1"/>
  <c r="AF19" i="1"/>
  <c r="AI19" i="1"/>
  <c r="AK19" i="1"/>
  <c r="AM19" i="1"/>
  <c r="AO19" i="1"/>
  <c r="AR19" i="1"/>
  <c r="AT19" i="1"/>
  <c r="AV19" i="1"/>
  <c r="AX19" i="1"/>
  <c r="L20" i="1"/>
  <c r="N20" i="1"/>
  <c r="Q20" i="1"/>
  <c r="S20" i="1"/>
  <c r="U20" i="1"/>
  <c r="W20" i="1"/>
  <c r="Z20" i="1"/>
  <c r="AB20" i="1"/>
  <c r="AD20" i="1"/>
  <c r="AF20" i="1"/>
  <c r="AI20" i="1"/>
  <c r="AK20" i="1"/>
  <c r="AM20" i="1"/>
  <c r="AO20" i="1"/>
  <c r="AR20" i="1"/>
  <c r="AT20" i="1"/>
  <c r="AV20" i="1"/>
  <c r="AX20" i="1"/>
  <c r="L21" i="1"/>
  <c r="N21" i="1"/>
  <c r="Q21" i="1"/>
  <c r="S21" i="1"/>
  <c r="U21" i="1"/>
  <c r="W21" i="1"/>
  <c r="Z21" i="1"/>
  <c r="AB21" i="1"/>
  <c r="AD21" i="1"/>
  <c r="AF21" i="1"/>
  <c r="AI21" i="1"/>
  <c r="AK21" i="1"/>
  <c r="AM21" i="1"/>
  <c r="AO21" i="1"/>
  <c r="AR21" i="1"/>
  <c r="AT21" i="1"/>
  <c r="AV21" i="1"/>
  <c r="AX21" i="1"/>
  <c r="L22" i="1"/>
  <c r="N22" i="1"/>
  <c r="Q22" i="1"/>
  <c r="S22" i="1"/>
  <c r="U22" i="1"/>
  <c r="W22" i="1"/>
  <c r="Z22" i="1"/>
  <c r="AB22" i="1"/>
  <c r="AD22" i="1"/>
  <c r="AF22" i="1"/>
  <c r="AI22" i="1"/>
  <c r="AK22" i="1"/>
  <c r="AM22" i="1"/>
  <c r="AO22" i="1"/>
  <c r="AR22" i="1"/>
  <c r="AT22" i="1"/>
  <c r="AV22" i="1"/>
  <c r="AX22" i="1"/>
  <c r="L23" i="1"/>
  <c r="N23" i="1"/>
  <c r="Q23" i="1"/>
  <c r="S23" i="1"/>
  <c r="U23" i="1"/>
  <c r="W23" i="1"/>
  <c r="Z23" i="1"/>
  <c r="AB23" i="1"/>
  <c r="AD23" i="1"/>
  <c r="AF23" i="1"/>
  <c r="AI23" i="1"/>
  <c r="AK23" i="1"/>
  <c r="AM23" i="1"/>
  <c r="AO23" i="1"/>
  <c r="AR23" i="1"/>
  <c r="AT23" i="1"/>
  <c r="AV23" i="1"/>
  <c r="AX23" i="1"/>
  <c r="L24" i="1"/>
  <c r="N24" i="1"/>
  <c r="Q24" i="1"/>
  <c r="S24" i="1"/>
  <c r="U24" i="1"/>
  <c r="W24" i="1"/>
  <c r="Z24" i="1"/>
  <c r="AB24" i="1"/>
  <c r="AD24" i="1"/>
  <c r="AF24" i="1"/>
  <c r="AI24" i="1"/>
  <c r="AK24" i="1"/>
  <c r="AM24" i="1"/>
  <c r="AO24" i="1"/>
  <c r="AR24" i="1"/>
  <c r="AT24" i="1"/>
  <c r="AV24" i="1"/>
  <c r="AX24" i="1"/>
  <c r="L25" i="1"/>
  <c r="N25" i="1"/>
  <c r="Q25" i="1"/>
  <c r="S25" i="1"/>
  <c r="U25" i="1"/>
  <c r="W25" i="1"/>
  <c r="Z25" i="1"/>
  <c r="AB25" i="1"/>
  <c r="AD25" i="1"/>
  <c r="AF25" i="1"/>
  <c r="AI25" i="1"/>
  <c r="AK25" i="1"/>
  <c r="AM25" i="1"/>
  <c r="AO25" i="1"/>
  <c r="AR25" i="1"/>
  <c r="AT25" i="1"/>
  <c r="AV25" i="1"/>
  <c r="AX25" i="1"/>
  <c r="L26" i="1"/>
  <c r="N26" i="1"/>
  <c r="Q26" i="1"/>
  <c r="S26" i="1"/>
  <c r="U26" i="1"/>
  <c r="W26" i="1"/>
  <c r="Z26" i="1"/>
  <c r="AB26" i="1"/>
  <c r="AD26" i="1"/>
  <c r="AF26" i="1"/>
  <c r="AI26" i="1"/>
  <c r="AK26" i="1"/>
  <c r="AM26" i="1"/>
  <c r="AO26" i="1"/>
  <c r="AR26" i="1"/>
  <c r="AT26" i="1"/>
  <c r="AV26" i="1"/>
  <c r="AX26" i="1"/>
  <c r="L27" i="1"/>
  <c r="N27" i="1"/>
  <c r="Q27" i="1"/>
  <c r="S27" i="1"/>
  <c r="U27" i="1"/>
  <c r="W27" i="1"/>
  <c r="Z27" i="1"/>
  <c r="AB27" i="1"/>
  <c r="AD27" i="1"/>
  <c r="AF27" i="1"/>
  <c r="AI27" i="1"/>
  <c r="AK27" i="1"/>
  <c r="AM27" i="1"/>
  <c r="AO27" i="1"/>
  <c r="AR27" i="1"/>
  <c r="AT27" i="1"/>
  <c r="AV27" i="1"/>
  <c r="AX27" i="1"/>
  <c r="L28" i="1"/>
  <c r="N28" i="1"/>
  <c r="Q28" i="1"/>
  <c r="S28" i="1"/>
  <c r="U28" i="1"/>
  <c r="W28" i="1"/>
  <c r="Z28" i="1"/>
  <c r="AB28" i="1"/>
  <c r="AD28" i="1"/>
  <c r="AF28" i="1"/>
  <c r="AI28" i="1"/>
  <c r="AK28" i="1"/>
  <c r="AM28" i="1"/>
  <c r="AO28" i="1"/>
  <c r="AR28" i="1"/>
  <c r="AT28" i="1"/>
  <c r="AV28" i="1"/>
  <c r="AX28" i="1"/>
  <c r="L29" i="1"/>
  <c r="N29" i="1"/>
  <c r="Q29" i="1"/>
  <c r="S29" i="1"/>
  <c r="U29" i="1"/>
  <c r="W29" i="1"/>
  <c r="Z29" i="1"/>
  <c r="AB29" i="1"/>
  <c r="AD29" i="1"/>
  <c r="AF29" i="1"/>
  <c r="AI29" i="1"/>
  <c r="AK29" i="1"/>
  <c r="AM29" i="1"/>
  <c r="AO29" i="1"/>
  <c r="AR29" i="1"/>
  <c r="AT29" i="1"/>
  <c r="AV29" i="1"/>
  <c r="AX29" i="1"/>
  <c r="L30" i="1"/>
  <c r="N30" i="1"/>
  <c r="Q30" i="1"/>
  <c r="S30" i="1"/>
  <c r="U30" i="1"/>
  <c r="W30" i="1"/>
  <c r="Z30" i="1"/>
  <c r="AB30" i="1"/>
  <c r="AD30" i="1"/>
  <c r="AF30" i="1"/>
  <c r="AI30" i="1"/>
  <c r="AK30" i="1"/>
  <c r="AM30" i="1"/>
  <c r="AO30" i="1"/>
  <c r="AR30" i="1"/>
  <c r="AT30" i="1"/>
  <c r="AV30" i="1"/>
  <c r="AX30" i="1"/>
  <c r="L31" i="1"/>
  <c r="N31" i="1"/>
  <c r="Q31" i="1"/>
  <c r="S31" i="1"/>
  <c r="U31" i="1"/>
  <c r="W31" i="1"/>
  <c r="Z31" i="1"/>
  <c r="AB31" i="1"/>
  <c r="AD31" i="1"/>
  <c r="AF31" i="1"/>
  <c r="AI31" i="1"/>
  <c r="AK31" i="1"/>
  <c r="AM31" i="1"/>
  <c r="AO31" i="1"/>
  <c r="AR31" i="1"/>
  <c r="AT31" i="1"/>
  <c r="AV31" i="1"/>
  <c r="AX31" i="1"/>
  <c r="L32" i="1"/>
  <c r="N32" i="1"/>
  <c r="Q32" i="1"/>
  <c r="S32" i="1"/>
  <c r="U32" i="1"/>
  <c r="W32" i="1"/>
  <c r="Z32" i="1"/>
  <c r="AB32" i="1"/>
  <c r="AD32" i="1"/>
  <c r="AF32" i="1"/>
  <c r="AI32" i="1"/>
  <c r="AK32" i="1"/>
  <c r="AM32" i="1"/>
  <c r="AO32" i="1"/>
  <c r="AR32" i="1"/>
  <c r="AT32" i="1"/>
  <c r="AV32" i="1"/>
  <c r="AX32" i="1"/>
  <c r="L33" i="1"/>
  <c r="N33" i="1"/>
  <c r="Q33" i="1"/>
  <c r="S33" i="1"/>
  <c r="U33" i="1"/>
  <c r="W33" i="1"/>
  <c r="Z33" i="1"/>
  <c r="AB33" i="1"/>
  <c r="AD33" i="1"/>
  <c r="AF33" i="1"/>
  <c r="AI33" i="1"/>
  <c r="AK33" i="1"/>
  <c r="AM33" i="1"/>
  <c r="AO33" i="1"/>
  <c r="AR33" i="1"/>
  <c r="AT33" i="1"/>
  <c r="AV33" i="1"/>
  <c r="AX33" i="1"/>
  <c r="L34" i="1"/>
  <c r="N34" i="1"/>
  <c r="Q34" i="1"/>
  <c r="S34" i="1"/>
  <c r="U34" i="1"/>
  <c r="W34" i="1"/>
  <c r="Z34" i="1"/>
  <c r="AB34" i="1"/>
  <c r="AD34" i="1"/>
  <c r="AF34" i="1"/>
  <c r="AI34" i="1"/>
  <c r="AK34" i="1"/>
  <c r="AM34" i="1"/>
  <c r="AO34" i="1"/>
  <c r="AR34" i="1"/>
  <c r="AT34" i="1"/>
  <c r="AV34" i="1"/>
  <c r="AX34" i="1"/>
  <c r="L35" i="1"/>
  <c r="N35" i="1"/>
  <c r="Q35" i="1"/>
  <c r="S35" i="1"/>
  <c r="U35" i="1"/>
  <c r="W35" i="1"/>
  <c r="Z35" i="1"/>
  <c r="AB35" i="1"/>
  <c r="AD35" i="1"/>
  <c r="AF35" i="1"/>
  <c r="AI35" i="1"/>
  <c r="AK35" i="1"/>
  <c r="AM35" i="1"/>
  <c r="AO35" i="1"/>
  <c r="AR35" i="1"/>
  <c r="AT35" i="1"/>
  <c r="AV35" i="1"/>
  <c r="AX35" i="1"/>
  <c r="L36" i="1"/>
  <c r="N36" i="1"/>
  <c r="Q36" i="1"/>
  <c r="S36" i="1"/>
  <c r="U36" i="1"/>
  <c r="W36" i="1"/>
  <c r="Z36" i="1"/>
  <c r="AB36" i="1"/>
  <c r="AD36" i="1"/>
  <c r="AF36" i="1"/>
  <c r="AI36" i="1"/>
  <c r="AK36" i="1"/>
  <c r="AM36" i="1"/>
  <c r="AO36" i="1"/>
  <c r="AR36" i="1"/>
  <c r="AT36" i="1"/>
  <c r="AV36" i="1"/>
  <c r="AX36" i="1"/>
  <c r="L37" i="1"/>
  <c r="N37" i="1"/>
  <c r="Q37" i="1"/>
  <c r="S37" i="1"/>
  <c r="U37" i="1"/>
  <c r="W37" i="1"/>
  <c r="Z37" i="1"/>
  <c r="AB37" i="1"/>
  <c r="AD37" i="1"/>
  <c r="AF37" i="1"/>
  <c r="AI37" i="1"/>
  <c r="AK37" i="1"/>
  <c r="AM37" i="1"/>
  <c r="AO37" i="1"/>
  <c r="AR37" i="1"/>
  <c r="AT37" i="1"/>
  <c r="AV37" i="1"/>
  <c r="AX37" i="1"/>
  <c r="L38" i="1"/>
  <c r="N38" i="1"/>
  <c r="Q38" i="1"/>
  <c r="S38" i="1"/>
  <c r="U38" i="1"/>
  <c r="W38" i="1"/>
  <c r="Z38" i="1"/>
  <c r="AB38" i="1"/>
  <c r="AD38" i="1"/>
  <c r="AF38" i="1"/>
  <c r="AI38" i="1"/>
  <c r="AK38" i="1"/>
  <c r="AM38" i="1"/>
  <c r="AO38" i="1"/>
  <c r="AR38" i="1"/>
  <c r="AT38" i="1"/>
  <c r="AV38" i="1"/>
  <c r="AX38" i="1"/>
  <c r="L39" i="1"/>
  <c r="N39" i="1"/>
  <c r="Q39" i="1"/>
  <c r="S39" i="1"/>
  <c r="U39" i="1"/>
  <c r="W39" i="1"/>
  <c r="Z39" i="1"/>
  <c r="AB39" i="1"/>
  <c r="AD39" i="1"/>
  <c r="AF39" i="1"/>
  <c r="AI39" i="1"/>
  <c r="AK39" i="1"/>
  <c r="AM39" i="1"/>
  <c r="AO39" i="1"/>
  <c r="AR39" i="1"/>
  <c r="AT39" i="1"/>
  <c r="AV39" i="1"/>
  <c r="AX39" i="1"/>
  <c r="L40" i="1"/>
  <c r="N40" i="1"/>
  <c r="Q40" i="1"/>
  <c r="S40" i="1"/>
  <c r="U40" i="1"/>
  <c r="W40" i="1"/>
  <c r="Z40" i="1"/>
  <c r="AB40" i="1"/>
  <c r="AD40" i="1"/>
  <c r="AF40" i="1"/>
  <c r="AI40" i="1"/>
  <c r="AK40" i="1"/>
  <c r="AM40" i="1"/>
  <c r="AO40" i="1"/>
  <c r="AR40" i="1"/>
  <c r="AT40" i="1"/>
  <c r="AV40" i="1"/>
  <c r="AX40" i="1"/>
  <c r="L41" i="1"/>
  <c r="N41" i="1"/>
  <c r="Q41" i="1"/>
  <c r="S41" i="1"/>
  <c r="U41" i="1"/>
  <c r="W41" i="1"/>
  <c r="Z41" i="1"/>
  <c r="AB41" i="1"/>
  <c r="AD41" i="1"/>
  <c r="AF41" i="1"/>
  <c r="AI41" i="1"/>
  <c r="AK41" i="1"/>
  <c r="AM41" i="1"/>
  <c r="AO41" i="1"/>
  <c r="AR41" i="1"/>
  <c r="AT41" i="1"/>
  <c r="AV41" i="1"/>
  <c r="AX41" i="1"/>
  <c r="L42" i="1"/>
  <c r="N42" i="1"/>
  <c r="Q42" i="1"/>
  <c r="S42" i="1"/>
  <c r="U42" i="1"/>
  <c r="W42" i="1"/>
  <c r="Z42" i="1"/>
  <c r="AB42" i="1"/>
  <c r="AD42" i="1"/>
  <c r="AF42" i="1"/>
  <c r="AI42" i="1"/>
  <c r="AK42" i="1"/>
  <c r="AM42" i="1"/>
  <c r="AO42" i="1"/>
  <c r="AR42" i="1"/>
  <c r="AT42" i="1"/>
  <c r="AV42" i="1"/>
  <c r="AX42" i="1"/>
  <c r="L43" i="1"/>
  <c r="N43" i="1"/>
  <c r="Q43" i="1"/>
  <c r="S43" i="1"/>
  <c r="U43" i="1"/>
  <c r="W43" i="1"/>
  <c r="Z43" i="1"/>
  <c r="AB43" i="1"/>
  <c r="AD43" i="1"/>
  <c r="AF43" i="1"/>
  <c r="AI43" i="1"/>
  <c r="AK43" i="1"/>
  <c r="AM43" i="1"/>
  <c r="AO43" i="1"/>
  <c r="AR43" i="1"/>
  <c r="AT43" i="1"/>
  <c r="AV43" i="1"/>
  <c r="AX43" i="1"/>
  <c r="L44" i="1"/>
  <c r="N44" i="1"/>
  <c r="Q44" i="1"/>
  <c r="S44" i="1"/>
  <c r="U44" i="1"/>
  <c r="W44" i="1"/>
  <c r="Z44" i="1"/>
  <c r="AB44" i="1"/>
  <c r="AD44" i="1"/>
  <c r="AF44" i="1"/>
  <c r="AI44" i="1"/>
  <c r="AK44" i="1"/>
  <c r="AM44" i="1"/>
  <c r="AO44" i="1"/>
  <c r="AR44" i="1"/>
  <c r="AT44" i="1"/>
  <c r="AV44" i="1"/>
  <c r="AX44" i="1"/>
  <c r="L45" i="1"/>
  <c r="N45" i="1"/>
  <c r="Q45" i="1"/>
  <c r="S45" i="1"/>
  <c r="U45" i="1"/>
  <c r="W45" i="1"/>
  <c r="Z45" i="1"/>
  <c r="AB45" i="1"/>
  <c r="AD45" i="1"/>
  <c r="AF45" i="1"/>
  <c r="AI45" i="1"/>
  <c r="AK45" i="1"/>
  <c r="AM45" i="1"/>
  <c r="AO45" i="1"/>
  <c r="AR45" i="1"/>
  <c r="AT45" i="1"/>
  <c r="AV45" i="1"/>
  <c r="AX45" i="1"/>
  <c r="L46" i="1"/>
  <c r="N46" i="1"/>
  <c r="Q46" i="1"/>
  <c r="S46" i="1"/>
  <c r="U46" i="1"/>
  <c r="W46" i="1"/>
  <c r="Z46" i="1"/>
  <c r="AB46" i="1"/>
  <c r="AD46" i="1"/>
  <c r="AF46" i="1"/>
  <c r="AI46" i="1"/>
  <c r="AK46" i="1"/>
  <c r="AM46" i="1"/>
  <c r="AO46" i="1"/>
  <c r="AR46" i="1"/>
  <c r="AT46" i="1"/>
  <c r="AV46" i="1"/>
  <c r="AX46" i="1"/>
  <c r="L47" i="1"/>
  <c r="N47" i="1"/>
  <c r="Q47" i="1"/>
  <c r="S47" i="1"/>
  <c r="U47" i="1"/>
  <c r="W47" i="1"/>
  <c r="Z47" i="1"/>
  <c r="AB47" i="1"/>
  <c r="AD47" i="1"/>
  <c r="AF47" i="1"/>
  <c r="AI47" i="1"/>
  <c r="AK47" i="1"/>
  <c r="AM47" i="1"/>
  <c r="AO47" i="1"/>
  <c r="AR47" i="1"/>
  <c r="AT47" i="1"/>
  <c r="AV47" i="1"/>
  <c r="AX47" i="1"/>
  <c r="L48" i="1"/>
  <c r="N48" i="1"/>
  <c r="Q48" i="1"/>
  <c r="S48" i="1"/>
  <c r="U48" i="1"/>
  <c r="W48" i="1"/>
  <c r="Z48" i="1"/>
  <c r="AB48" i="1"/>
  <c r="AD48" i="1"/>
  <c r="AF48" i="1"/>
  <c r="AI48" i="1"/>
  <c r="AK48" i="1"/>
  <c r="AM48" i="1"/>
  <c r="AO48" i="1"/>
  <c r="AR48" i="1"/>
  <c r="AT48" i="1"/>
  <c r="AV48" i="1"/>
  <c r="AX48" i="1"/>
  <c r="L49" i="1"/>
  <c r="N49" i="1"/>
  <c r="Q49" i="1"/>
  <c r="S49" i="1"/>
  <c r="U49" i="1"/>
  <c r="W49" i="1"/>
  <c r="Z49" i="1"/>
  <c r="AB49" i="1"/>
  <c r="AD49" i="1"/>
  <c r="AF49" i="1"/>
  <c r="AI49" i="1"/>
  <c r="AK49" i="1"/>
  <c r="AM49" i="1"/>
  <c r="AO49" i="1"/>
  <c r="AR49" i="1"/>
  <c r="AT49" i="1"/>
  <c r="AV49" i="1"/>
  <c r="AX49" i="1"/>
  <c r="L50" i="1"/>
  <c r="N50" i="1"/>
  <c r="Q50" i="1"/>
  <c r="S50" i="1"/>
  <c r="U50" i="1"/>
  <c r="W50" i="1"/>
  <c r="Z50" i="1"/>
  <c r="AB50" i="1"/>
  <c r="AD50" i="1"/>
  <c r="AF50" i="1"/>
  <c r="AI50" i="1"/>
  <c r="AK50" i="1"/>
  <c r="AM50" i="1"/>
  <c r="AO50" i="1"/>
  <c r="AR50" i="1"/>
  <c r="AT50" i="1"/>
  <c r="AV50" i="1"/>
  <c r="AX50" i="1"/>
  <c r="L51" i="1"/>
  <c r="N51" i="1"/>
  <c r="Q51" i="1"/>
  <c r="S51" i="1"/>
  <c r="U51" i="1"/>
  <c r="W51" i="1"/>
  <c r="Z51" i="1"/>
  <c r="AB51" i="1"/>
  <c r="AD51" i="1"/>
  <c r="AF51" i="1"/>
  <c r="AI51" i="1"/>
  <c r="AK51" i="1"/>
  <c r="AM51" i="1"/>
  <c r="AO51" i="1"/>
  <c r="AR51" i="1"/>
  <c r="AT51" i="1"/>
  <c r="AV51" i="1"/>
  <c r="AX51" i="1"/>
  <c r="L52" i="1"/>
  <c r="N52" i="1"/>
  <c r="Q52" i="1"/>
  <c r="S52" i="1"/>
  <c r="U52" i="1"/>
  <c r="W52" i="1"/>
  <c r="Z52" i="1"/>
  <c r="AB52" i="1"/>
  <c r="AD52" i="1"/>
  <c r="AF52" i="1"/>
  <c r="AI52" i="1"/>
  <c r="AK52" i="1"/>
  <c r="AM52" i="1"/>
  <c r="AO52" i="1"/>
  <c r="AR52" i="1"/>
  <c r="AT52" i="1"/>
  <c r="AV52" i="1"/>
  <c r="AX52" i="1"/>
  <c r="L53" i="1"/>
  <c r="N53" i="1"/>
  <c r="Q53" i="1"/>
  <c r="S53" i="1"/>
  <c r="U53" i="1"/>
  <c r="W53" i="1"/>
  <c r="Z53" i="1"/>
  <c r="AB53" i="1"/>
  <c r="AD53" i="1"/>
  <c r="AF53" i="1"/>
  <c r="AI53" i="1"/>
  <c r="AK53" i="1"/>
  <c r="AM53" i="1"/>
  <c r="AO53" i="1"/>
  <c r="AR53" i="1"/>
  <c r="AT53" i="1"/>
  <c r="AV53" i="1"/>
  <c r="AX53" i="1"/>
  <c r="L54" i="1"/>
  <c r="N54" i="1"/>
  <c r="Q54" i="1"/>
  <c r="S54" i="1"/>
  <c r="U54" i="1"/>
  <c r="W54" i="1"/>
  <c r="Z54" i="1"/>
  <c r="AB54" i="1"/>
  <c r="AD54" i="1"/>
  <c r="AF54" i="1"/>
  <c r="AI54" i="1"/>
  <c r="AK54" i="1"/>
  <c r="AM54" i="1"/>
  <c r="AO54" i="1"/>
  <c r="AR54" i="1"/>
  <c r="AT54" i="1"/>
  <c r="AV54" i="1"/>
  <c r="AX54" i="1"/>
  <c r="L55" i="1"/>
  <c r="N55" i="1"/>
  <c r="Q55" i="1"/>
  <c r="S55" i="1"/>
  <c r="U55" i="1"/>
  <c r="W55" i="1"/>
  <c r="Z55" i="1"/>
  <c r="AB55" i="1"/>
  <c r="AD55" i="1"/>
  <c r="AF55" i="1"/>
  <c r="AI55" i="1"/>
  <c r="AK55" i="1"/>
  <c r="AM55" i="1"/>
  <c r="AO55" i="1"/>
  <c r="AR55" i="1"/>
  <c r="AT55" i="1"/>
  <c r="AV55" i="1"/>
  <c r="AX55" i="1"/>
  <c r="L56" i="1"/>
  <c r="N56" i="1"/>
  <c r="Q56" i="1"/>
  <c r="S56" i="1"/>
  <c r="U56" i="1"/>
  <c r="W56" i="1"/>
  <c r="Z56" i="1"/>
  <c r="AB56" i="1"/>
  <c r="AD56" i="1"/>
  <c r="AF56" i="1"/>
  <c r="AI56" i="1"/>
  <c r="AK56" i="1"/>
  <c r="AM56" i="1"/>
  <c r="AO56" i="1"/>
  <c r="AR56" i="1"/>
  <c r="AT56" i="1"/>
  <c r="AV56" i="1"/>
  <c r="AX56" i="1"/>
  <c r="L57" i="1"/>
  <c r="N57" i="1"/>
  <c r="Q57" i="1"/>
  <c r="S57" i="1"/>
  <c r="U57" i="1"/>
  <c r="W57" i="1"/>
  <c r="Z57" i="1"/>
  <c r="AB57" i="1"/>
  <c r="AD57" i="1"/>
  <c r="AF57" i="1"/>
  <c r="AI57" i="1"/>
  <c r="AK57" i="1"/>
  <c r="AM57" i="1"/>
  <c r="AO57" i="1"/>
  <c r="AR57" i="1"/>
  <c r="AT57" i="1"/>
  <c r="AV57" i="1"/>
  <c r="AX57" i="1"/>
  <c r="L58" i="1"/>
  <c r="N58" i="1"/>
  <c r="Q58" i="1"/>
  <c r="S58" i="1"/>
  <c r="U58" i="1"/>
  <c r="W58" i="1"/>
  <c r="Z58" i="1"/>
  <c r="AB58" i="1"/>
  <c r="AD58" i="1"/>
  <c r="AF58" i="1"/>
  <c r="AI58" i="1"/>
  <c r="AK58" i="1"/>
  <c r="AM58" i="1"/>
  <c r="AO58" i="1"/>
  <c r="AR58" i="1"/>
  <c r="AT58" i="1"/>
  <c r="AV58" i="1"/>
  <c r="AX58" i="1"/>
  <c r="L59" i="1"/>
  <c r="N59" i="1"/>
  <c r="Q59" i="1"/>
  <c r="S59" i="1"/>
  <c r="U59" i="1"/>
  <c r="W59" i="1"/>
  <c r="Z59" i="1"/>
  <c r="AB59" i="1"/>
  <c r="AD59" i="1"/>
  <c r="AF59" i="1"/>
  <c r="AI59" i="1"/>
  <c r="AK59" i="1"/>
  <c r="AM59" i="1"/>
  <c r="AO59" i="1"/>
  <c r="AR59" i="1"/>
  <c r="AT59" i="1"/>
  <c r="AV59" i="1"/>
  <c r="AX59" i="1"/>
  <c r="L60" i="1"/>
  <c r="N60" i="1"/>
  <c r="Q60" i="1"/>
  <c r="S60" i="1"/>
  <c r="U60" i="1"/>
  <c r="W60" i="1"/>
  <c r="Z60" i="1"/>
  <c r="AB60" i="1"/>
  <c r="AD60" i="1"/>
  <c r="AF60" i="1"/>
  <c r="AI60" i="1"/>
  <c r="AK60" i="1"/>
  <c r="AM60" i="1"/>
  <c r="AO60" i="1"/>
  <c r="AR60" i="1"/>
  <c r="AT60" i="1"/>
  <c r="AV60" i="1"/>
  <c r="AX60" i="1"/>
  <c r="L61" i="1"/>
  <c r="N61" i="1"/>
  <c r="Q61" i="1"/>
  <c r="S61" i="1"/>
  <c r="U61" i="1"/>
  <c r="W61" i="1"/>
  <c r="Z61" i="1"/>
  <c r="AB61" i="1"/>
  <c r="AD61" i="1"/>
  <c r="AF61" i="1"/>
  <c r="AI61" i="1"/>
  <c r="AK61" i="1"/>
  <c r="AM61" i="1"/>
  <c r="AO61" i="1"/>
  <c r="AR61" i="1"/>
  <c r="AT61" i="1"/>
  <c r="AV61" i="1"/>
  <c r="AX61" i="1"/>
  <c r="L62" i="1"/>
  <c r="N62" i="1"/>
  <c r="Q62" i="1"/>
  <c r="S62" i="1"/>
  <c r="U62" i="1"/>
  <c r="W62" i="1"/>
  <c r="Z62" i="1"/>
  <c r="AB62" i="1"/>
  <c r="AD62" i="1"/>
  <c r="AF62" i="1"/>
  <c r="AI62" i="1"/>
  <c r="AK62" i="1"/>
  <c r="AM62" i="1"/>
  <c r="AO62" i="1"/>
  <c r="AR62" i="1"/>
  <c r="AT62" i="1"/>
  <c r="AV62" i="1"/>
  <c r="AX62" i="1"/>
  <c r="L63" i="1"/>
  <c r="N63" i="1"/>
  <c r="Q63" i="1"/>
  <c r="S63" i="1"/>
  <c r="U63" i="1"/>
  <c r="W63" i="1"/>
  <c r="Z63" i="1"/>
  <c r="AB63" i="1"/>
  <c r="AD63" i="1"/>
  <c r="AF63" i="1"/>
  <c r="AI63" i="1"/>
  <c r="AK63" i="1"/>
  <c r="AM63" i="1"/>
  <c r="AO63" i="1"/>
  <c r="AR63" i="1"/>
  <c r="AT63" i="1"/>
  <c r="AV63" i="1"/>
  <c r="AX63" i="1"/>
  <c r="L64" i="1"/>
  <c r="N64" i="1"/>
  <c r="Q64" i="1"/>
  <c r="S64" i="1"/>
  <c r="U64" i="1"/>
  <c r="W64" i="1"/>
  <c r="Z64" i="1"/>
  <c r="AB64" i="1"/>
  <c r="AD64" i="1"/>
  <c r="AF64" i="1"/>
  <c r="AI64" i="1"/>
  <c r="AK64" i="1"/>
  <c r="AM64" i="1"/>
  <c r="AO64" i="1"/>
  <c r="AR64" i="1"/>
  <c r="AT64" i="1"/>
  <c r="AV64" i="1"/>
  <c r="AX64" i="1"/>
  <c r="L65" i="1"/>
  <c r="N65" i="1"/>
  <c r="Q65" i="1"/>
  <c r="S65" i="1"/>
  <c r="U65" i="1"/>
  <c r="W65" i="1"/>
  <c r="Z65" i="1"/>
  <c r="AB65" i="1"/>
  <c r="AD65" i="1"/>
  <c r="AF65" i="1"/>
  <c r="AI65" i="1"/>
  <c r="AK65" i="1"/>
  <c r="AM65" i="1"/>
  <c r="AO65" i="1"/>
  <c r="AR65" i="1"/>
  <c r="AT65" i="1"/>
  <c r="AV65" i="1"/>
  <c r="AX65" i="1"/>
  <c r="L66" i="1"/>
  <c r="N66" i="1"/>
  <c r="Q66" i="1"/>
  <c r="S66" i="1"/>
  <c r="U66" i="1"/>
  <c r="W66" i="1"/>
  <c r="Z66" i="1"/>
  <c r="AB66" i="1"/>
  <c r="AD66" i="1"/>
  <c r="AF66" i="1"/>
  <c r="AI66" i="1"/>
  <c r="AK66" i="1"/>
  <c r="AM66" i="1"/>
  <c r="AO66" i="1"/>
  <c r="AR66" i="1"/>
  <c r="AT66" i="1"/>
  <c r="AV66" i="1"/>
  <c r="AX66" i="1"/>
  <c r="L67" i="1"/>
  <c r="N67" i="1"/>
  <c r="Q67" i="1"/>
  <c r="S67" i="1"/>
  <c r="U67" i="1"/>
  <c r="W67" i="1"/>
  <c r="Z67" i="1"/>
  <c r="AB67" i="1"/>
  <c r="AD67" i="1"/>
  <c r="AF67" i="1"/>
  <c r="AI67" i="1"/>
  <c r="AK67" i="1"/>
  <c r="AM67" i="1"/>
  <c r="AO67" i="1"/>
  <c r="AR67" i="1"/>
  <c r="AT67" i="1"/>
  <c r="AV67" i="1"/>
  <c r="AX67" i="1"/>
  <c r="L68" i="1"/>
  <c r="N68" i="1"/>
  <c r="Q68" i="1"/>
  <c r="S68" i="1"/>
  <c r="U68" i="1"/>
  <c r="W68" i="1"/>
  <c r="Z68" i="1"/>
  <c r="AB68" i="1"/>
  <c r="AD68" i="1"/>
  <c r="AF68" i="1"/>
  <c r="AI68" i="1"/>
  <c r="AK68" i="1"/>
  <c r="AM68" i="1"/>
  <c r="AO68" i="1"/>
  <c r="AR68" i="1"/>
  <c r="AT68" i="1"/>
  <c r="AV68" i="1"/>
  <c r="AX68" i="1"/>
  <c r="L69" i="1"/>
  <c r="N69" i="1"/>
  <c r="Q69" i="1"/>
  <c r="S69" i="1"/>
  <c r="U69" i="1"/>
  <c r="W69" i="1"/>
  <c r="Z69" i="1"/>
  <c r="AB69" i="1"/>
  <c r="AD69" i="1"/>
  <c r="AF69" i="1"/>
  <c r="AI69" i="1"/>
  <c r="AK69" i="1"/>
  <c r="AM69" i="1"/>
  <c r="AO69" i="1"/>
  <c r="AR69" i="1"/>
  <c r="AT69" i="1"/>
  <c r="AV69" i="1"/>
  <c r="AX69" i="1"/>
  <c r="L70" i="1"/>
  <c r="N70" i="1"/>
  <c r="Q70" i="1"/>
  <c r="S70" i="1"/>
  <c r="U70" i="1"/>
  <c r="W70" i="1"/>
  <c r="Z70" i="1"/>
  <c r="AB70" i="1"/>
  <c r="AD70" i="1"/>
  <c r="AF70" i="1"/>
  <c r="AI70" i="1"/>
  <c r="AK70" i="1"/>
  <c r="AM70" i="1"/>
  <c r="AO70" i="1"/>
  <c r="AR70" i="1"/>
  <c r="AT70" i="1"/>
  <c r="AV70" i="1"/>
  <c r="AX70" i="1"/>
  <c r="L71" i="1"/>
  <c r="N71" i="1"/>
  <c r="Q71" i="1"/>
  <c r="S71" i="1"/>
  <c r="U71" i="1"/>
  <c r="W71" i="1"/>
  <c r="Z71" i="1"/>
  <c r="AB71" i="1"/>
  <c r="AD71" i="1"/>
  <c r="AF71" i="1"/>
  <c r="AI71" i="1"/>
  <c r="AK71" i="1"/>
  <c r="AM71" i="1"/>
  <c r="AO71" i="1"/>
  <c r="AR71" i="1"/>
  <c r="AT71" i="1"/>
  <c r="AV71" i="1"/>
  <c r="AX71" i="1"/>
  <c r="L72" i="1"/>
  <c r="N72" i="1"/>
  <c r="Q72" i="1"/>
  <c r="S72" i="1"/>
  <c r="U72" i="1"/>
  <c r="W72" i="1"/>
  <c r="Z72" i="1"/>
  <c r="AB72" i="1"/>
  <c r="AD72" i="1"/>
  <c r="AF72" i="1"/>
  <c r="AI72" i="1"/>
  <c r="AK72" i="1"/>
  <c r="AM72" i="1"/>
  <c r="AO72" i="1"/>
  <c r="AR72" i="1"/>
  <c r="AT72" i="1"/>
  <c r="AV72" i="1"/>
  <c r="AX72" i="1"/>
  <c r="L73" i="1"/>
  <c r="N73" i="1"/>
  <c r="Q73" i="1"/>
  <c r="S73" i="1"/>
  <c r="U73" i="1"/>
  <c r="W73" i="1"/>
  <c r="Z73" i="1"/>
  <c r="AB73" i="1"/>
  <c r="AD73" i="1"/>
  <c r="AF73" i="1"/>
  <c r="AI73" i="1"/>
  <c r="AK73" i="1"/>
  <c r="AM73" i="1"/>
  <c r="AO73" i="1"/>
  <c r="AR73" i="1"/>
  <c r="AT73" i="1"/>
  <c r="AV73" i="1"/>
  <c r="AX73" i="1"/>
  <c r="L74" i="1"/>
  <c r="N74" i="1"/>
  <c r="Q74" i="1"/>
  <c r="S74" i="1"/>
  <c r="U74" i="1"/>
  <c r="W74" i="1"/>
  <c r="Z74" i="1"/>
  <c r="AB74" i="1"/>
  <c r="AD74" i="1"/>
  <c r="AF74" i="1"/>
  <c r="AI74" i="1"/>
  <c r="AK74" i="1"/>
  <c r="AM74" i="1"/>
  <c r="AO74" i="1"/>
  <c r="AR74" i="1"/>
  <c r="AT74" i="1"/>
  <c r="AV74" i="1"/>
  <c r="AX74" i="1"/>
  <c r="L75" i="1"/>
  <c r="N75" i="1"/>
  <c r="Q75" i="1"/>
  <c r="S75" i="1"/>
  <c r="U75" i="1"/>
  <c r="W75" i="1"/>
  <c r="Z75" i="1"/>
  <c r="AB75" i="1"/>
  <c r="AD75" i="1"/>
  <c r="AF75" i="1"/>
  <c r="AI75" i="1"/>
  <c r="AK75" i="1"/>
  <c r="AM75" i="1"/>
  <c r="AO75" i="1"/>
  <c r="AR75" i="1"/>
  <c r="AT75" i="1"/>
  <c r="AV75" i="1"/>
  <c r="AX75" i="1"/>
  <c r="L76" i="1"/>
  <c r="N76" i="1"/>
  <c r="Q76" i="1"/>
  <c r="S76" i="1"/>
  <c r="U76" i="1"/>
  <c r="W76" i="1"/>
  <c r="Z76" i="1"/>
  <c r="AB76" i="1"/>
  <c r="AD76" i="1"/>
  <c r="AF76" i="1"/>
  <c r="AI76" i="1"/>
  <c r="AK76" i="1"/>
  <c r="AM76" i="1"/>
  <c r="AO76" i="1"/>
  <c r="AR76" i="1"/>
  <c r="AT76" i="1"/>
  <c r="AV76" i="1"/>
  <c r="AX76" i="1"/>
  <c r="L77" i="1"/>
  <c r="N77" i="1"/>
  <c r="Q77" i="1"/>
  <c r="S77" i="1"/>
  <c r="U77" i="1"/>
  <c r="W77" i="1"/>
  <c r="Z77" i="1"/>
  <c r="AB77" i="1"/>
  <c r="AD77" i="1"/>
  <c r="AF77" i="1"/>
  <c r="AI77" i="1"/>
  <c r="AK77" i="1"/>
  <c r="AM77" i="1"/>
  <c r="AO77" i="1"/>
  <c r="AR77" i="1"/>
  <c r="AT77" i="1"/>
  <c r="AV77" i="1"/>
  <c r="AX77" i="1"/>
  <c r="L78" i="1"/>
  <c r="N78" i="1"/>
  <c r="Q78" i="1"/>
  <c r="S78" i="1"/>
  <c r="U78" i="1"/>
  <c r="W78" i="1"/>
  <c r="Z78" i="1"/>
  <c r="AB78" i="1"/>
  <c r="AD78" i="1"/>
  <c r="AF78" i="1"/>
  <c r="AI78" i="1"/>
  <c r="AK78" i="1"/>
  <c r="AM78" i="1"/>
  <c r="AO78" i="1"/>
  <c r="AR78" i="1"/>
  <c r="AT78" i="1"/>
  <c r="AV78" i="1"/>
  <c r="AX78" i="1"/>
  <c r="L79" i="1"/>
  <c r="N79" i="1"/>
  <c r="Q79" i="1"/>
  <c r="S79" i="1"/>
  <c r="U79" i="1"/>
  <c r="W79" i="1"/>
  <c r="Z79" i="1"/>
  <c r="AB79" i="1"/>
  <c r="AD79" i="1"/>
  <c r="AF79" i="1"/>
  <c r="AI79" i="1"/>
  <c r="AK79" i="1"/>
  <c r="AM79" i="1"/>
  <c r="AO79" i="1"/>
  <c r="AR79" i="1"/>
  <c r="AT79" i="1"/>
  <c r="AV79" i="1"/>
  <c r="AX79" i="1"/>
  <c r="L80" i="1"/>
  <c r="N80" i="1"/>
  <c r="Q80" i="1"/>
  <c r="S80" i="1"/>
  <c r="U80" i="1"/>
  <c r="W80" i="1"/>
  <c r="Z80" i="1"/>
  <c r="AB80" i="1"/>
  <c r="AD80" i="1"/>
  <c r="AF80" i="1"/>
  <c r="AI80" i="1"/>
  <c r="AK80" i="1"/>
  <c r="AM80" i="1"/>
  <c r="AO80" i="1"/>
  <c r="AR80" i="1"/>
  <c r="AT80" i="1"/>
  <c r="AV80" i="1"/>
  <c r="AX80" i="1"/>
  <c r="L81" i="1"/>
  <c r="N81" i="1"/>
  <c r="Q81" i="1"/>
  <c r="S81" i="1"/>
  <c r="U81" i="1"/>
  <c r="W81" i="1"/>
  <c r="Z81" i="1"/>
  <c r="AB81" i="1"/>
  <c r="AD81" i="1"/>
  <c r="AF81" i="1"/>
  <c r="AI81" i="1"/>
  <c r="AK81" i="1"/>
  <c r="AM81" i="1"/>
  <c r="AO81" i="1"/>
  <c r="AR81" i="1"/>
  <c r="AT81" i="1"/>
  <c r="AV81" i="1"/>
  <c r="AX81" i="1"/>
  <c r="L82" i="1"/>
  <c r="N82" i="1"/>
  <c r="Q82" i="1"/>
  <c r="S82" i="1"/>
  <c r="U82" i="1"/>
  <c r="W82" i="1"/>
  <c r="Z82" i="1"/>
  <c r="AB82" i="1"/>
  <c r="AD82" i="1"/>
  <c r="AF82" i="1"/>
  <c r="AI82" i="1"/>
  <c r="AK82" i="1"/>
  <c r="AM82" i="1"/>
  <c r="AO82" i="1"/>
  <c r="AR82" i="1"/>
  <c r="AT82" i="1"/>
  <c r="AV82" i="1"/>
  <c r="AX82" i="1"/>
  <c r="L83" i="1"/>
  <c r="N83" i="1"/>
  <c r="Q83" i="1"/>
  <c r="S83" i="1"/>
  <c r="U83" i="1"/>
  <c r="W83" i="1"/>
  <c r="Z83" i="1"/>
  <c r="AB83" i="1"/>
  <c r="AD83" i="1"/>
  <c r="AF83" i="1"/>
  <c r="AI83" i="1"/>
  <c r="AK83" i="1"/>
  <c r="AM83" i="1"/>
  <c r="AO83" i="1"/>
  <c r="AR83" i="1"/>
  <c r="AT83" i="1"/>
  <c r="AV83" i="1"/>
  <c r="AX83" i="1"/>
  <c r="L84" i="1"/>
  <c r="N84" i="1"/>
  <c r="Q84" i="1"/>
  <c r="S84" i="1"/>
  <c r="U84" i="1"/>
  <c r="W84" i="1"/>
  <c r="Z84" i="1"/>
  <c r="AB84" i="1"/>
  <c r="AD84" i="1"/>
  <c r="AF84" i="1"/>
  <c r="AI84" i="1"/>
  <c r="AK84" i="1"/>
  <c r="AM84" i="1"/>
  <c r="AO84" i="1"/>
  <c r="AR84" i="1"/>
  <c r="AT84" i="1"/>
  <c r="AV84" i="1"/>
  <c r="AX84" i="1"/>
  <c r="L85" i="1"/>
  <c r="N85" i="1"/>
  <c r="Q85" i="1"/>
  <c r="S85" i="1"/>
  <c r="U85" i="1"/>
  <c r="W85" i="1"/>
  <c r="Z85" i="1"/>
  <c r="AB85" i="1"/>
  <c r="AD85" i="1"/>
  <c r="AF85" i="1"/>
  <c r="AI85" i="1"/>
  <c r="AK85" i="1"/>
  <c r="AM85" i="1"/>
  <c r="AO85" i="1"/>
  <c r="AR85" i="1"/>
  <c r="AT85" i="1"/>
  <c r="AV85" i="1"/>
  <c r="AX85" i="1"/>
  <c r="L86" i="1"/>
  <c r="N86" i="1"/>
  <c r="Q86" i="1"/>
  <c r="S86" i="1"/>
  <c r="U86" i="1"/>
  <c r="W86" i="1"/>
  <c r="Z86" i="1"/>
  <c r="AB86" i="1"/>
  <c r="AD86" i="1"/>
  <c r="AF86" i="1"/>
  <c r="AI86" i="1"/>
  <c r="AK86" i="1"/>
  <c r="AM86" i="1"/>
  <c r="AO86" i="1"/>
  <c r="AR86" i="1"/>
  <c r="AT86" i="1"/>
  <c r="AV86" i="1"/>
  <c r="AX86" i="1"/>
  <c r="L87" i="1"/>
  <c r="N87" i="1"/>
  <c r="Q87" i="1"/>
  <c r="S87" i="1"/>
  <c r="U87" i="1"/>
  <c r="W87" i="1"/>
  <c r="Z87" i="1"/>
  <c r="AB87" i="1"/>
  <c r="AD87" i="1"/>
  <c r="AF87" i="1"/>
  <c r="AI87" i="1"/>
  <c r="AK87" i="1"/>
  <c r="AM87" i="1"/>
  <c r="AO87" i="1"/>
  <c r="AR87" i="1"/>
  <c r="AT87" i="1"/>
  <c r="AV87" i="1"/>
  <c r="AX87" i="1"/>
  <c r="L88" i="1"/>
  <c r="N88" i="1"/>
  <c r="Q88" i="1"/>
  <c r="S88" i="1"/>
  <c r="U88" i="1"/>
  <c r="W88" i="1"/>
  <c r="Z88" i="1"/>
  <c r="AB88" i="1"/>
  <c r="AD88" i="1"/>
  <c r="AF88" i="1"/>
  <c r="AI88" i="1"/>
  <c r="AK88" i="1"/>
  <c r="AM88" i="1"/>
  <c r="AO88" i="1"/>
  <c r="AR88" i="1"/>
  <c r="AT88" i="1"/>
  <c r="AV88" i="1"/>
  <c r="AX88" i="1"/>
  <c r="L89" i="1"/>
  <c r="N89" i="1"/>
  <c r="Q89" i="1"/>
  <c r="S89" i="1"/>
  <c r="U89" i="1"/>
  <c r="W89" i="1"/>
  <c r="Z89" i="1"/>
  <c r="AB89" i="1"/>
  <c r="AD89" i="1"/>
  <c r="AF89" i="1"/>
  <c r="AI89" i="1"/>
  <c r="AK89" i="1"/>
  <c r="AM89" i="1"/>
  <c r="AO89" i="1"/>
  <c r="AR89" i="1"/>
  <c r="AT89" i="1"/>
  <c r="AV89" i="1"/>
  <c r="AX89" i="1"/>
  <c r="L90" i="1"/>
  <c r="N90" i="1"/>
  <c r="Q90" i="1"/>
  <c r="S90" i="1"/>
  <c r="U90" i="1"/>
  <c r="W90" i="1"/>
  <c r="Z90" i="1"/>
  <c r="AB90" i="1"/>
  <c r="AD90" i="1"/>
  <c r="AF90" i="1"/>
  <c r="AI90" i="1"/>
  <c r="AK90" i="1"/>
  <c r="AM90" i="1"/>
  <c r="AO90" i="1"/>
  <c r="AR90" i="1"/>
  <c r="AT90" i="1"/>
  <c r="AV90" i="1"/>
  <c r="AX90" i="1"/>
  <c r="L91" i="1"/>
  <c r="N91" i="1"/>
  <c r="Q91" i="1"/>
  <c r="S91" i="1"/>
  <c r="U91" i="1"/>
  <c r="W91" i="1"/>
  <c r="Z91" i="1"/>
  <c r="AB91" i="1"/>
  <c r="AD91" i="1"/>
  <c r="AF91" i="1"/>
  <c r="AI91" i="1"/>
  <c r="AK91" i="1"/>
  <c r="AM91" i="1"/>
  <c r="AO91" i="1"/>
  <c r="AR91" i="1"/>
  <c r="AT91" i="1"/>
  <c r="AV91" i="1"/>
  <c r="AX91" i="1"/>
  <c r="L92" i="1"/>
  <c r="N92" i="1"/>
  <c r="Q92" i="1"/>
  <c r="S92" i="1"/>
  <c r="U92" i="1"/>
  <c r="W92" i="1"/>
  <c r="Z92" i="1"/>
  <c r="AB92" i="1"/>
  <c r="AD92" i="1"/>
  <c r="AF92" i="1"/>
  <c r="AI92" i="1"/>
  <c r="AK92" i="1"/>
  <c r="AM92" i="1"/>
  <c r="AO92" i="1"/>
  <c r="AR92" i="1"/>
  <c r="AT92" i="1"/>
  <c r="AV92" i="1"/>
  <c r="AX92" i="1"/>
  <c r="L93" i="1"/>
  <c r="N93" i="1"/>
  <c r="Q93" i="1"/>
  <c r="S93" i="1"/>
  <c r="U93" i="1"/>
  <c r="W93" i="1"/>
  <c r="Z93" i="1"/>
  <c r="AB93" i="1"/>
  <c r="AD93" i="1"/>
  <c r="AF93" i="1"/>
  <c r="AI93" i="1"/>
  <c r="AK93" i="1"/>
  <c r="AM93" i="1"/>
  <c r="AO93" i="1"/>
  <c r="AR93" i="1"/>
  <c r="AT93" i="1"/>
  <c r="AV93" i="1"/>
  <c r="AX93" i="1"/>
  <c r="L94" i="1"/>
  <c r="N94" i="1"/>
  <c r="Q94" i="1"/>
  <c r="S94" i="1"/>
  <c r="U94" i="1"/>
  <c r="W94" i="1"/>
  <c r="Z94" i="1"/>
  <c r="AB94" i="1"/>
  <c r="AD94" i="1"/>
  <c r="AF94" i="1"/>
  <c r="AI94" i="1"/>
  <c r="AK94" i="1"/>
  <c r="AM94" i="1"/>
  <c r="AO94" i="1"/>
  <c r="AR94" i="1"/>
  <c r="AT94" i="1"/>
  <c r="AV94" i="1"/>
  <c r="AX94" i="1"/>
  <c r="L95" i="1"/>
  <c r="N95" i="1"/>
  <c r="Q95" i="1"/>
  <c r="S95" i="1"/>
  <c r="U95" i="1"/>
  <c r="W95" i="1"/>
  <c r="Z95" i="1"/>
  <c r="AB95" i="1"/>
  <c r="AD95" i="1"/>
  <c r="AF95" i="1"/>
  <c r="AI95" i="1"/>
  <c r="AK95" i="1"/>
  <c r="AM95" i="1"/>
  <c r="AO95" i="1"/>
  <c r="AR95" i="1"/>
  <c r="AT95" i="1"/>
  <c r="AV95" i="1"/>
  <c r="AX95" i="1"/>
  <c r="L96" i="1"/>
  <c r="N96" i="1"/>
  <c r="Q96" i="1"/>
  <c r="S96" i="1"/>
  <c r="U96" i="1"/>
  <c r="W96" i="1"/>
  <c r="Z96" i="1"/>
  <c r="AB96" i="1"/>
  <c r="AD96" i="1"/>
  <c r="AF96" i="1"/>
  <c r="AI96" i="1"/>
  <c r="AK96" i="1"/>
  <c r="AM96" i="1"/>
  <c r="AO96" i="1"/>
  <c r="AR96" i="1"/>
  <c r="AT96" i="1"/>
  <c r="AV96" i="1"/>
  <c r="AX96" i="1"/>
  <c r="L97" i="1"/>
  <c r="N97" i="1"/>
  <c r="Q97" i="1"/>
  <c r="S97" i="1"/>
  <c r="U97" i="1"/>
  <c r="W97" i="1"/>
  <c r="Z97" i="1"/>
  <c r="AB97" i="1"/>
  <c r="AD97" i="1"/>
  <c r="AF97" i="1"/>
  <c r="AI97" i="1"/>
  <c r="AK97" i="1"/>
  <c r="AM97" i="1"/>
  <c r="AO97" i="1"/>
  <c r="AR97" i="1"/>
  <c r="AT97" i="1"/>
  <c r="AV97" i="1"/>
  <c r="AX97" i="1"/>
  <c r="L98" i="1"/>
  <c r="N98" i="1"/>
  <c r="Q98" i="1"/>
  <c r="S98" i="1"/>
  <c r="U98" i="1"/>
  <c r="W98" i="1"/>
  <c r="Z98" i="1"/>
  <c r="AB98" i="1"/>
  <c r="AD98" i="1"/>
  <c r="AF98" i="1"/>
  <c r="AI98" i="1"/>
  <c r="AK98" i="1"/>
  <c r="AM98" i="1"/>
  <c r="AO98" i="1"/>
  <c r="AR98" i="1"/>
  <c r="AT98" i="1"/>
  <c r="AV98" i="1"/>
  <c r="AX98" i="1"/>
  <c r="L99" i="1"/>
  <c r="N99" i="1"/>
  <c r="Q99" i="1"/>
  <c r="S99" i="1"/>
  <c r="U99" i="1"/>
  <c r="W99" i="1"/>
  <c r="Z99" i="1"/>
  <c r="AB99" i="1"/>
  <c r="AD99" i="1"/>
  <c r="AF99" i="1"/>
  <c r="AI99" i="1"/>
  <c r="AK99" i="1"/>
  <c r="AM99" i="1"/>
  <c r="AO99" i="1"/>
  <c r="AR99" i="1"/>
  <c r="AT99" i="1"/>
  <c r="AV99" i="1"/>
  <c r="AX99" i="1"/>
  <c r="L100" i="1"/>
  <c r="N100" i="1"/>
  <c r="Q100" i="1"/>
  <c r="S100" i="1"/>
  <c r="U100" i="1"/>
  <c r="W100" i="1"/>
  <c r="Z100" i="1"/>
  <c r="AB100" i="1"/>
  <c r="AD100" i="1"/>
  <c r="AF100" i="1"/>
  <c r="AI100" i="1"/>
  <c r="AK100" i="1"/>
  <c r="AM100" i="1"/>
  <c r="AO100" i="1"/>
  <c r="AR100" i="1"/>
  <c r="AT100" i="1"/>
  <c r="AV100" i="1"/>
  <c r="AX100" i="1"/>
  <c r="L101" i="1"/>
  <c r="N101" i="1"/>
  <c r="Q101" i="1"/>
  <c r="S101" i="1"/>
  <c r="U101" i="1"/>
  <c r="W101" i="1"/>
  <c r="Z101" i="1"/>
  <c r="AB101" i="1"/>
  <c r="AD101" i="1"/>
  <c r="AF101" i="1"/>
  <c r="AI101" i="1"/>
  <c r="AK101" i="1"/>
  <c r="AM101" i="1"/>
  <c r="AO101" i="1"/>
  <c r="AR101" i="1"/>
  <c r="AT101" i="1"/>
  <c r="AV101" i="1"/>
  <c r="AX101" i="1"/>
  <c r="L102" i="1"/>
  <c r="N102" i="1"/>
  <c r="Q102" i="1"/>
  <c r="S102" i="1"/>
  <c r="U102" i="1"/>
  <c r="W102" i="1"/>
  <c r="Z102" i="1"/>
  <c r="AB102" i="1"/>
  <c r="AD102" i="1"/>
  <c r="AF102" i="1"/>
  <c r="AI102" i="1"/>
  <c r="AK102" i="1"/>
  <c r="AM102" i="1"/>
  <c r="AO102" i="1"/>
  <c r="AR102" i="1"/>
  <c r="AT102" i="1"/>
  <c r="AV102" i="1"/>
  <c r="AX102" i="1"/>
  <c r="L103" i="1"/>
  <c r="N103" i="1"/>
  <c r="Q103" i="1"/>
  <c r="S103" i="1"/>
  <c r="U103" i="1"/>
  <c r="W103" i="1"/>
  <c r="Z103" i="1"/>
  <c r="AB103" i="1"/>
  <c r="AD103" i="1"/>
  <c r="AF103" i="1"/>
  <c r="AI103" i="1"/>
  <c r="AK103" i="1"/>
  <c r="AM103" i="1"/>
  <c r="AO103" i="1"/>
  <c r="AR103" i="1"/>
  <c r="AT103" i="1"/>
  <c r="AV103" i="1"/>
  <c r="AX103" i="1"/>
  <c r="L104" i="1"/>
  <c r="N104" i="1"/>
  <c r="Q104" i="1"/>
  <c r="S104" i="1"/>
  <c r="U104" i="1"/>
  <c r="W104" i="1"/>
  <c r="Z104" i="1"/>
  <c r="AB104" i="1"/>
  <c r="AD104" i="1"/>
  <c r="AF104" i="1"/>
  <c r="AI104" i="1"/>
  <c r="AK104" i="1"/>
  <c r="AM104" i="1"/>
  <c r="AO104" i="1"/>
  <c r="AR104" i="1"/>
  <c r="AT104" i="1"/>
  <c r="AV104" i="1"/>
  <c r="AX104" i="1"/>
  <c r="L105" i="1"/>
  <c r="N105" i="1"/>
  <c r="Q105" i="1"/>
  <c r="S105" i="1"/>
  <c r="U105" i="1"/>
  <c r="W105" i="1"/>
  <c r="Z105" i="1"/>
  <c r="AB105" i="1"/>
  <c r="AD105" i="1"/>
  <c r="AF105" i="1"/>
  <c r="AI105" i="1"/>
  <c r="AK105" i="1"/>
  <c r="AM105" i="1"/>
  <c r="AO105" i="1"/>
  <c r="AR105" i="1"/>
  <c r="AT105" i="1"/>
  <c r="AV105" i="1"/>
  <c r="AX105" i="1"/>
  <c r="L106" i="1"/>
  <c r="N106" i="1"/>
  <c r="Q106" i="1"/>
  <c r="S106" i="1"/>
  <c r="U106" i="1"/>
  <c r="W106" i="1"/>
  <c r="Z106" i="1"/>
  <c r="AB106" i="1"/>
  <c r="AD106" i="1"/>
  <c r="AF106" i="1"/>
  <c r="AI106" i="1"/>
  <c r="AK106" i="1"/>
  <c r="AM106" i="1"/>
  <c r="AO106" i="1"/>
  <c r="AR106" i="1"/>
  <c r="AT106" i="1"/>
  <c r="AV106" i="1"/>
  <c r="AX106" i="1"/>
  <c r="L107" i="1"/>
  <c r="N107" i="1"/>
  <c r="Q107" i="1"/>
  <c r="S107" i="1"/>
  <c r="U107" i="1"/>
  <c r="W107" i="1"/>
  <c r="Z107" i="1"/>
  <c r="AB107" i="1"/>
  <c r="AD107" i="1"/>
  <c r="AF107" i="1"/>
  <c r="AI107" i="1"/>
  <c r="AK107" i="1"/>
  <c r="AM107" i="1"/>
  <c r="AO107" i="1"/>
  <c r="AR107" i="1"/>
  <c r="AT107" i="1"/>
  <c r="AV107" i="1"/>
  <c r="AX107" i="1"/>
  <c r="F103" i="1" l="1"/>
  <c r="G103" i="1"/>
  <c r="I103" i="1" s="1"/>
  <c r="G63" i="1"/>
  <c r="I63" i="1" s="1"/>
  <c r="F63" i="1"/>
  <c r="F23" i="1"/>
  <c r="G23" i="1"/>
  <c r="I23" i="1" s="1"/>
  <c r="F44" i="1"/>
  <c r="G44" i="1"/>
  <c r="I44" i="1" s="1"/>
  <c r="G105" i="1"/>
  <c r="I105" i="1" s="1"/>
  <c r="F105" i="1"/>
  <c r="G85" i="1"/>
  <c r="I85" i="1" s="1"/>
  <c r="F85" i="1"/>
  <c r="G75" i="1"/>
  <c r="I75" i="1" s="1"/>
  <c r="F75" i="1"/>
  <c r="G65" i="1"/>
  <c r="I65" i="1" s="1"/>
  <c r="F65" i="1"/>
  <c r="G55" i="1"/>
  <c r="I55" i="1" s="1"/>
  <c r="F55" i="1"/>
  <c r="F45" i="1"/>
  <c r="G45" i="1"/>
  <c r="I45" i="1" s="1"/>
  <c r="G35" i="1"/>
  <c r="I35" i="1" s="1"/>
  <c r="F35" i="1"/>
  <c r="G25" i="1"/>
  <c r="I25" i="1" s="1"/>
  <c r="F25" i="1"/>
  <c r="G15" i="1"/>
  <c r="F15" i="1"/>
  <c r="F13" i="5" s="1"/>
  <c r="G95" i="1"/>
  <c r="I95" i="1" s="1"/>
  <c r="F95" i="1"/>
  <c r="F106" i="1"/>
  <c r="G106" i="1"/>
  <c r="I106" i="1" s="1"/>
  <c r="G96" i="1"/>
  <c r="I96" i="1" s="1"/>
  <c r="F96" i="1"/>
  <c r="G86" i="1"/>
  <c r="I86" i="1" s="1"/>
  <c r="F86" i="1"/>
  <c r="G76" i="1"/>
  <c r="I76" i="1" s="1"/>
  <c r="F76" i="1"/>
  <c r="G66" i="1"/>
  <c r="I66" i="1" s="1"/>
  <c r="F66" i="1"/>
  <c r="G56" i="1"/>
  <c r="I56" i="1" s="1"/>
  <c r="F56" i="1"/>
  <c r="G46" i="1"/>
  <c r="I46" i="1" s="1"/>
  <c r="F46" i="1"/>
  <c r="G36" i="1"/>
  <c r="I36" i="1" s="1"/>
  <c r="F36" i="1"/>
  <c r="G26" i="1"/>
  <c r="I26" i="1" s="1"/>
  <c r="F26" i="1"/>
  <c r="G16" i="1"/>
  <c r="I16" i="1" s="1"/>
  <c r="F16" i="1"/>
  <c r="G54" i="1"/>
  <c r="I54" i="1" s="1"/>
  <c r="F54" i="1"/>
  <c r="F24" i="1"/>
  <c r="G24" i="1"/>
  <c r="I24" i="1" s="1"/>
  <c r="F7" i="1"/>
  <c r="F5" i="5" s="1"/>
  <c r="G42" i="1"/>
  <c r="I42" i="1" s="1"/>
  <c r="F42" i="1"/>
  <c r="G97" i="1"/>
  <c r="I97" i="1" s="1"/>
  <c r="F97" i="1"/>
  <c r="G87" i="1"/>
  <c r="I87" i="1" s="1"/>
  <c r="F87" i="1"/>
  <c r="G77" i="1"/>
  <c r="I77" i="1" s="1"/>
  <c r="F77" i="1"/>
  <c r="G67" i="1"/>
  <c r="I67" i="1" s="1"/>
  <c r="F67" i="1"/>
  <c r="G57" i="1"/>
  <c r="I57" i="1" s="1"/>
  <c r="F57" i="1"/>
  <c r="G47" i="1"/>
  <c r="I47" i="1" s="1"/>
  <c r="F47" i="1"/>
  <c r="G37" i="1"/>
  <c r="I37" i="1" s="1"/>
  <c r="F37" i="1"/>
  <c r="G27" i="1"/>
  <c r="I27" i="1" s="1"/>
  <c r="F27" i="1"/>
  <c r="G17" i="1"/>
  <c r="I17" i="1" s="1"/>
  <c r="F17" i="1"/>
  <c r="G22" i="1"/>
  <c r="I22" i="1" s="1"/>
  <c r="F22" i="1"/>
  <c r="G73" i="1"/>
  <c r="I73" i="1" s="1"/>
  <c r="F73" i="1"/>
  <c r="F104" i="1"/>
  <c r="G104" i="1"/>
  <c r="I104" i="1" s="1"/>
  <c r="G62" i="1"/>
  <c r="I62" i="1" s="1"/>
  <c r="F62" i="1"/>
  <c r="G12" i="1"/>
  <c r="F12" i="1"/>
  <c r="F10" i="5" s="1"/>
  <c r="G93" i="1"/>
  <c r="I93" i="1" s="1"/>
  <c r="F93" i="1"/>
  <c r="G53" i="1"/>
  <c r="I53" i="1" s="1"/>
  <c r="F53" i="1"/>
  <c r="G84" i="1"/>
  <c r="I84" i="1" s="1"/>
  <c r="F84" i="1"/>
  <c r="G98" i="1"/>
  <c r="I98" i="1" s="1"/>
  <c r="F98" i="1"/>
  <c r="G88" i="1"/>
  <c r="I88" i="1" s="1"/>
  <c r="F88" i="1"/>
  <c r="G78" i="1"/>
  <c r="I78" i="1" s="1"/>
  <c r="F78" i="1"/>
  <c r="G68" i="1"/>
  <c r="I68" i="1" s="1"/>
  <c r="F68" i="1"/>
  <c r="G58" i="1"/>
  <c r="I58" i="1" s="1"/>
  <c r="F58" i="1"/>
  <c r="G48" i="1"/>
  <c r="I48" i="1" s="1"/>
  <c r="F48" i="1"/>
  <c r="G38" i="1"/>
  <c r="I38" i="1" s="1"/>
  <c r="F38" i="1"/>
  <c r="F28" i="1"/>
  <c r="G28" i="1"/>
  <c r="I28" i="1" s="1"/>
  <c r="G18" i="1"/>
  <c r="I18" i="1" s="1"/>
  <c r="F18" i="1"/>
  <c r="G8" i="1"/>
  <c r="F8" i="1"/>
  <c r="F6" i="5" s="1"/>
  <c r="G52" i="1"/>
  <c r="I52" i="1" s="1"/>
  <c r="F52" i="1"/>
  <c r="G13" i="1"/>
  <c r="I13" i="1" s="1"/>
  <c r="F13" i="1"/>
  <c r="G14" i="1"/>
  <c r="F14" i="1"/>
  <c r="F12" i="5" s="1"/>
  <c r="G99" i="1"/>
  <c r="I99" i="1" s="1"/>
  <c r="F99" i="1"/>
  <c r="G89" i="1"/>
  <c r="I89" i="1" s="1"/>
  <c r="F89" i="1"/>
  <c r="F79" i="1"/>
  <c r="G79" i="1"/>
  <c r="I79" i="1" s="1"/>
  <c r="G69" i="1"/>
  <c r="I69" i="1" s="1"/>
  <c r="F69" i="1"/>
  <c r="G59" i="1"/>
  <c r="I59" i="1" s="1"/>
  <c r="F59" i="1"/>
  <c r="G49" i="1"/>
  <c r="I49" i="1" s="1"/>
  <c r="F49" i="1"/>
  <c r="G39" i="1"/>
  <c r="I39" i="1" s="1"/>
  <c r="F39" i="1"/>
  <c r="G29" i="1"/>
  <c r="I29" i="1" s="1"/>
  <c r="F29" i="1"/>
  <c r="F19" i="1"/>
  <c r="G19" i="1"/>
  <c r="I19" i="1" s="1"/>
  <c r="G9" i="1"/>
  <c r="F9" i="1"/>
  <c r="F7" i="5" s="1"/>
  <c r="G33" i="1"/>
  <c r="I33" i="1" s="1"/>
  <c r="F33" i="1"/>
  <c r="G74" i="1"/>
  <c r="I74" i="1" s="1"/>
  <c r="F74" i="1"/>
  <c r="G102" i="1"/>
  <c r="I102" i="1" s="1"/>
  <c r="F102" i="1"/>
  <c r="G72" i="1"/>
  <c r="I72" i="1" s="1"/>
  <c r="F72" i="1"/>
  <c r="G94" i="1"/>
  <c r="I94" i="1" s="1"/>
  <c r="F94" i="1"/>
  <c r="G100" i="1"/>
  <c r="I100" i="1" s="1"/>
  <c r="F100" i="1"/>
  <c r="G90" i="1"/>
  <c r="I90" i="1" s="1"/>
  <c r="F90" i="1"/>
  <c r="G80" i="1"/>
  <c r="I80" i="1" s="1"/>
  <c r="F80" i="1"/>
  <c r="G70" i="1"/>
  <c r="I70" i="1" s="1"/>
  <c r="F70" i="1"/>
  <c r="G60" i="1"/>
  <c r="I60" i="1" s="1"/>
  <c r="F60" i="1"/>
  <c r="G50" i="1"/>
  <c r="I50" i="1" s="1"/>
  <c r="F50" i="1"/>
  <c r="G40" i="1"/>
  <c r="I40" i="1" s="1"/>
  <c r="F40" i="1"/>
  <c r="G30" i="1"/>
  <c r="I30" i="1" s="1"/>
  <c r="F30" i="1"/>
  <c r="G20" i="1"/>
  <c r="I20" i="1" s="1"/>
  <c r="F20" i="1"/>
  <c r="G10" i="1"/>
  <c r="I10" i="1" s="1"/>
  <c r="F10" i="1"/>
  <c r="G82" i="1"/>
  <c r="I82" i="1" s="1"/>
  <c r="F82" i="1"/>
  <c r="G64" i="1"/>
  <c r="I64" i="1" s="1"/>
  <c r="F64" i="1"/>
  <c r="G34" i="1"/>
  <c r="I34" i="1" s="1"/>
  <c r="F34" i="1"/>
  <c r="G32" i="1"/>
  <c r="I32" i="1" s="1"/>
  <c r="F32" i="1"/>
  <c r="G107" i="1"/>
  <c r="I107" i="1" s="1"/>
  <c r="F107" i="1"/>
  <c r="G101" i="1"/>
  <c r="I101" i="1" s="1"/>
  <c r="F101" i="1"/>
  <c r="G91" i="1"/>
  <c r="I91" i="1" s="1"/>
  <c r="F91" i="1"/>
  <c r="G81" i="1"/>
  <c r="I81" i="1" s="1"/>
  <c r="F81" i="1"/>
  <c r="G71" i="1"/>
  <c r="I71" i="1" s="1"/>
  <c r="F71" i="1"/>
  <c r="G61" i="1"/>
  <c r="I61" i="1" s="1"/>
  <c r="F61" i="1"/>
  <c r="G51" i="1"/>
  <c r="I51" i="1" s="1"/>
  <c r="F51" i="1"/>
  <c r="G41" i="1"/>
  <c r="I41" i="1" s="1"/>
  <c r="F41" i="1"/>
  <c r="G31" i="1"/>
  <c r="I31" i="1" s="1"/>
  <c r="F31" i="1"/>
  <c r="G21" i="1"/>
  <c r="I21" i="1" s="1"/>
  <c r="F21" i="1"/>
  <c r="G11" i="1"/>
  <c r="F11" i="1"/>
  <c r="F9" i="5" s="1"/>
  <c r="G92" i="1"/>
  <c r="I92" i="1" s="1"/>
  <c r="F92" i="1"/>
  <c r="G83" i="1"/>
  <c r="I83" i="1" s="1"/>
  <c r="F83" i="1"/>
  <c r="F43" i="1"/>
  <c r="G43" i="1"/>
  <c r="I43" i="1" s="1"/>
  <c r="G7" i="1"/>
  <c r="G5" i="5" s="1"/>
  <c r="B32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C29" i="5"/>
  <c r="C31" i="5"/>
  <c r="C26" i="5"/>
  <c r="C34" i="5"/>
  <c r="C27" i="5"/>
  <c r="C33" i="5"/>
  <c r="C30" i="5"/>
  <c r="C35" i="5"/>
  <c r="C28" i="5"/>
  <c r="C32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B29" i="5"/>
  <c r="B31" i="5"/>
  <c r="B26" i="5"/>
  <c r="B34" i="5"/>
  <c r="B27" i="5"/>
  <c r="B33" i="5"/>
  <c r="B30" i="5"/>
  <c r="B35" i="5"/>
  <c r="B28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I15" i="1" l="1"/>
  <c r="I13" i="5" s="1"/>
  <c r="G13" i="5"/>
  <c r="I14" i="1"/>
  <c r="I12" i="5" s="1"/>
  <c r="G12" i="5"/>
  <c r="I12" i="1"/>
  <c r="I10" i="5" s="1"/>
  <c r="G10" i="5"/>
  <c r="I11" i="1"/>
  <c r="I9" i="5" s="1"/>
  <c r="G9" i="5"/>
  <c r="I9" i="1"/>
  <c r="I7" i="5" s="1"/>
  <c r="G7" i="5"/>
  <c r="G87" i="5"/>
  <c r="F87" i="5"/>
  <c r="G184" i="5"/>
  <c r="F184" i="5"/>
  <c r="G164" i="5"/>
  <c r="F164" i="5"/>
  <c r="G144" i="5"/>
  <c r="F144" i="5"/>
  <c r="G124" i="5"/>
  <c r="F124" i="5"/>
  <c r="G104" i="5"/>
  <c r="F104" i="5"/>
  <c r="G84" i="5"/>
  <c r="F84" i="5"/>
  <c r="G64" i="5"/>
  <c r="F64" i="5"/>
  <c r="G44" i="5"/>
  <c r="F44" i="5"/>
  <c r="I187" i="5"/>
  <c r="H187" i="5"/>
  <c r="I167" i="5"/>
  <c r="H167" i="5"/>
  <c r="I147" i="5"/>
  <c r="H147" i="5"/>
  <c r="I127" i="5"/>
  <c r="H127" i="5"/>
  <c r="I107" i="5"/>
  <c r="H107" i="5"/>
  <c r="I87" i="5"/>
  <c r="H87" i="5"/>
  <c r="I67" i="5"/>
  <c r="H67" i="5"/>
  <c r="I47" i="5"/>
  <c r="H47" i="5"/>
  <c r="I31" i="5"/>
  <c r="H31" i="5"/>
  <c r="I90" i="5"/>
  <c r="H90" i="5"/>
  <c r="G165" i="5"/>
  <c r="F165" i="5"/>
  <c r="G45" i="5"/>
  <c r="F45" i="5"/>
  <c r="G106" i="5"/>
  <c r="F106" i="5"/>
  <c r="I89" i="5"/>
  <c r="H89" i="5"/>
  <c r="G145" i="5"/>
  <c r="F145" i="5"/>
  <c r="G85" i="5"/>
  <c r="F85" i="5"/>
  <c r="I168" i="5"/>
  <c r="H168" i="5"/>
  <c r="I108" i="5"/>
  <c r="H108" i="5"/>
  <c r="I68" i="5"/>
  <c r="H68" i="5"/>
  <c r="I145" i="5"/>
  <c r="H145" i="5"/>
  <c r="G127" i="5"/>
  <c r="F127" i="5"/>
  <c r="I150" i="5"/>
  <c r="H150" i="5"/>
  <c r="I27" i="5"/>
  <c r="H27" i="5"/>
  <c r="G163" i="5"/>
  <c r="F163" i="5"/>
  <c r="G181" i="5"/>
  <c r="F181" i="5"/>
  <c r="G161" i="5"/>
  <c r="F161" i="5"/>
  <c r="G141" i="5"/>
  <c r="F141" i="5"/>
  <c r="G121" i="5"/>
  <c r="F121" i="5"/>
  <c r="G101" i="5"/>
  <c r="F101" i="5"/>
  <c r="G81" i="5"/>
  <c r="F81" i="5"/>
  <c r="G61" i="5"/>
  <c r="F61" i="5"/>
  <c r="G41" i="5"/>
  <c r="F41" i="5"/>
  <c r="I184" i="5"/>
  <c r="H184" i="5"/>
  <c r="I164" i="5"/>
  <c r="H164" i="5"/>
  <c r="I144" i="5"/>
  <c r="H144" i="5"/>
  <c r="I124" i="5"/>
  <c r="H124" i="5"/>
  <c r="I104" i="5"/>
  <c r="H104" i="5"/>
  <c r="I84" i="5"/>
  <c r="H84" i="5"/>
  <c r="I64" i="5"/>
  <c r="H64" i="5"/>
  <c r="I44" i="5"/>
  <c r="H44" i="5"/>
  <c r="G125" i="5"/>
  <c r="F125" i="5"/>
  <c r="I188" i="5"/>
  <c r="H188" i="5"/>
  <c r="I48" i="5"/>
  <c r="H48" i="5"/>
  <c r="I186" i="5"/>
  <c r="H186" i="5"/>
  <c r="A179" i="5"/>
  <c r="G179" i="5"/>
  <c r="F179" i="5"/>
  <c r="G119" i="5"/>
  <c r="F119" i="5"/>
  <c r="I182" i="5"/>
  <c r="H182" i="5"/>
  <c r="I130" i="5"/>
  <c r="H130" i="5"/>
  <c r="G166" i="5"/>
  <c r="F166" i="5"/>
  <c r="G66" i="5"/>
  <c r="F66" i="5"/>
  <c r="I69" i="5"/>
  <c r="H69" i="5"/>
  <c r="G105" i="5"/>
  <c r="F105" i="5"/>
  <c r="G65" i="5"/>
  <c r="F65" i="5"/>
  <c r="I148" i="5"/>
  <c r="H148" i="5"/>
  <c r="I88" i="5"/>
  <c r="H88" i="5"/>
  <c r="I26" i="5"/>
  <c r="H26" i="5"/>
  <c r="G183" i="5"/>
  <c r="F183" i="5"/>
  <c r="I166" i="5"/>
  <c r="H166" i="5"/>
  <c r="I46" i="5"/>
  <c r="H46" i="5"/>
  <c r="G182" i="5"/>
  <c r="F182" i="5"/>
  <c r="G142" i="5"/>
  <c r="F142" i="5"/>
  <c r="G102" i="5"/>
  <c r="F102" i="5"/>
  <c r="G62" i="5"/>
  <c r="F62" i="5"/>
  <c r="I165" i="5"/>
  <c r="H165" i="5"/>
  <c r="I105" i="5"/>
  <c r="H105" i="5"/>
  <c r="G140" i="5"/>
  <c r="F140" i="5"/>
  <c r="I63" i="5"/>
  <c r="H63" i="5"/>
  <c r="G159" i="5"/>
  <c r="F159" i="5"/>
  <c r="G139" i="5"/>
  <c r="F139" i="5"/>
  <c r="G99" i="5"/>
  <c r="F99" i="5"/>
  <c r="G79" i="5"/>
  <c r="F79" i="5"/>
  <c r="G59" i="5"/>
  <c r="F59" i="5"/>
  <c r="G39" i="5"/>
  <c r="F39" i="5"/>
  <c r="I162" i="5"/>
  <c r="H162" i="5"/>
  <c r="I142" i="5"/>
  <c r="H142" i="5"/>
  <c r="I122" i="5"/>
  <c r="H122" i="5"/>
  <c r="I102" i="5"/>
  <c r="H102" i="5"/>
  <c r="I82" i="5"/>
  <c r="H82" i="5"/>
  <c r="I62" i="5"/>
  <c r="H62" i="5"/>
  <c r="I42" i="5"/>
  <c r="H42" i="5"/>
  <c r="G178" i="5"/>
  <c r="F178" i="5"/>
  <c r="G158" i="5"/>
  <c r="F158" i="5"/>
  <c r="G138" i="5"/>
  <c r="F138" i="5"/>
  <c r="G118" i="5"/>
  <c r="F118" i="5"/>
  <c r="G98" i="5"/>
  <c r="F98" i="5"/>
  <c r="G78" i="5"/>
  <c r="F78" i="5"/>
  <c r="G58" i="5"/>
  <c r="F58" i="5"/>
  <c r="G38" i="5"/>
  <c r="F38" i="5"/>
  <c r="I181" i="5"/>
  <c r="H181" i="5"/>
  <c r="I161" i="5"/>
  <c r="H161" i="5"/>
  <c r="I141" i="5"/>
  <c r="H141" i="5"/>
  <c r="I121" i="5"/>
  <c r="H121" i="5"/>
  <c r="I101" i="5"/>
  <c r="H101" i="5"/>
  <c r="I81" i="5"/>
  <c r="H81" i="5"/>
  <c r="I61" i="5"/>
  <c r="H61" i="5"/>
  <c r="I41" i="5"/>
  <c r="H41" i="5"/>
  <c r="G147" i="5"/>
  <c r="F147" i="5"/>
  <c r="G29" i="5"/>
  <c r="F29" i="5"/>
  <c r="G146" i="5"/>
  <c r="F146" i="5"/>
  <c r="G86" i="5"/>
  <c r="F86" i="5"/>
  <c r="I189" i="5"/>
  <c r="H189" i="5"/>
  <c r="I129" i="5"/>
  <c r="H129" i="5"/>
  <c r="G43" i="5"/>
  <c r="F43" i="5"/>
  <c r="I85" i="5"/>
  <c r="H85" i="5"/>
  <c r="G120" i="5"/>
  <c r="F120" i="5"/>
  <c r="G77" i="5"/>
  <c r="F77" i="5"/>
  <c r="G107" i="5"/>
  <c r="F107" i="5"/>
  <c r="G123" i="5"/>
  <c r="F123" i="5"/>
  <c r="I86" i="5"/>
  <c r="H86" i="5"/>
  <c r="G100" i="5"/>
  <c r="F100" i="5"/>
  <c r="I163" i="5"/>
  <c r="H163" i="5"/>
  <c r="I123" i="5"/>
  <c r="H123" i="5"/>
  <c r="I83" i="5"/>
  <c r="H83" i="5"/>
  <c r="I43" i="5"/>
  <c r="H43" i="5"/>
  <c r="G177" i="5"/>
  <c r="F177" i="5"/>
  <c r="G157" i="5"/>
  <c r="F157" i="5"/>
  <c r="G117" i="5"/>
  <c r="F117" i="5"/>
  <c r="G57" i="5"/>
  <c r="F57" i="5"/>
  <c r="H180" i="5"/>
  <c r="I180" i="5"/>
  <c r="H140" i="5"/>
  <c r="I140" i="5"/>
  <c r="H100" i="5"/>
  <c r="I100" i="5"/>
  <c r="H60" i="5"/>
  <c r="I60" i="5"/>
  <c r="G156" i="5"/>
  <c r="F156" i="5"/>
  <c r="G116" i="5"/>
  <c r="F116" i="5"/>
  <c r="G76" i="5"/>
  <c r="F76" i="5"/>
  <c r="G36" i="5"/>
  <c r="F36" i="5"/>
  <c r="H159" i="5"/>
  <c r="I159" i="5"/>
  <c r="H119" i="5"/>
  <c r="I119" i="5"/>
  <c r="H79" i="5"/>
  <c r="I79" i="5"/>
  <c r="H39" i="5"/>
  <c r="I39" i="5"/>
  <c r="G175" i="5"/>
  <c r="F175" i="5"/>
  <c r="G155" i="5"/>
  <c r="F155" i="5"/>
  <c r="G135" i="5"/>
  <c r="F135" i="5"/>
  <c r="G115" i="5"/>
  <c r="F115" i="5"/>
  <c r="G95" i="5"/>
  <c r="F95" i="5"/>
  <c r="G75" i="5"/>
  <c r="F75" i="5"/>
  <c r="G55" i="5"/>
  <c r="F55" i="5"/>
  <c r="G28" i="5"/>
  <c r="F28" i="5"/>
  <c r="H178" i="5"/>
  <c r="I178" i="5"/>
  <c r="H158" i="5"/>
  <c r="I158" i="5"/>
  <c r="H138" i="5"/>
  <c r="I138" i="5"/>
  <c r="H118" i="5"/>
  <c r="I118" i="5"/>
  <c r="H98" i="5"/>
  <c r="I98" i="5"/>
  <c r="H78" i="5"/>
  <c r="I78" i="5"/>
  <c r="H58" i="5"/>
  <c r="I58" i="5"/>
  <c r="H38" i="5"/>
  <c r="I38" i="5"/>
  <c r="G47" i="5"/>
  <c r="F47" i="5"/>
  <c r="G83" i="5"/>
  <c r="F83" i="5"/>
  <c r="G60" i="5"/>
  <c r="F60" i="5"/>
  <c r="G137" i="5"/>
  <c r="F137" i="5"/>
  <c r="G97" i="5"/>
  <c r="F97" i="5"/>
  <c r="G37" i="5"/>
  <c r="F37" i="5"/>
  <c r="H160" i="5"/>
  <c r="I160" i="5"/>
  <c r="H120" i="5"/>
  <c r="I120" i="5"/>
  <c r="H80" i="5"/>
  <c r="I80" i="5"/>
  <c r="H40" i="5"/>
  <c r="I40" i="5"/>
  <c r="G176" i="5"/>
  <c r="F176" i="5"/>
  <c r="G136" i="5"/>
  <c r="F136" i="5"/>
  <c r="G96" i="5"/>
  <c r="F96" i="5"/>
  <c r="G56" i="5"/>
  <c r="F56" i="5"/>
  <c r="H179" i="5"/>
  <c r="I179" i="5"/>
  <c r="H139" i="5"/>
  <c r="I139" i="5"/>
  <c r="H99" i="5"/>
  <c r="I99" i="5"/>
  <c r="H59" i="5"/>
  <c r="I59" i="5"/>
  <c r="F174" i="5"/>
  <c r="G174" i="5"/>
  <c r="F154" i="5"/>
  <c r="G154" i="5"/>
  <c r="F134" i="5"/>
  <c r="G134" i="5"/>
  <c r="F114" i="5"/>
  <c r="G114" i="5"/>
  <c r="F94" i="5"/>
  <c r="G94" i="5"/>
  <c r="F74" i="5"/>
  <c r="G74" i="5"/>
  <c r="F54" i="5"/>
  <c r="G54" i="5"/>
  <c r="G35" i="5"/>
  <c r="F35" i="5"/>
  <c r="I177" i="5"/>
  <c r="H177" i="5"/>
  <c r="I157" i="5"/>
  <c r="H157" i="5"/>
  <c r="I137" i="5"/>
  <c r="H137" i="5"/>
  <c r="I117" i="5"/>
  <c r="H117" i="5"/>
  <c r="I97" i="5"/>
  <c r="H97" i="5"/>
  <c r="I77" i="5"/>
  <c r="H77" i="5"/>
  <c r="I57" i="5"/>
  <c r="H57" i="5"/>
  <c r="I37" i="5"/>
  <c r="H37" i="5"/>
  <c r="I126" i="5"/>
  <c r="H126" i="5"/>
  <c r="I70" i="5"/>
  <c r="H70" i="5"/>
  <c r="G186" i="5"/>
  <c r="F186" i="5"/>
  <c r="G126" i="5"/>
  <c r="F126" i="5"/>
  <c r="G46" i="5"/>
  <c r="F46" i="5"/>
  <c r="I169" i="5"/>
  <c r="H169" i="5"/>
  <c r="I149" i="5"/>
  <c r="H149" i="5"/>
  <c r="I109" i="5"/>
  <c r="H109" i="5"/>
  <c r="G185" i="5"/>
  <c r="F185" i="5"/>
  <c r="I65" i="5"/>
  <c r="H65" i="5"/>
  <c r="I183" i="5"/>
  <c r="H183" i="5"/>
  <c r="I36" i="5"/>
  <c r="H36" i="5"/>
  <c r="I50" i="5"/>
  <c r="H50" i="5"/>
  <c r="I34" i="5"/>
  <c r="H34" i="5"/>
  <c r="I128" i="5"/>
  <c r="H128" i="5"/>
  <c r="G103" i="5"/>
  <c r="F103" i="5"/>
  <c r="I66" i="5"/>
  <c r="H66" i="5"/>
  <c r="G160" i="5"/>
  <c r="F160" i="5"/>
  <c r="F173" i="5"/>
  <c r="G173" i="5"/>
  <c r="F113" i="5"/>
  <c r="G113" i="5"/>
  <c r="F53" i="5"/>
  <c r="G53" i="5"/>
  <c r="I156" i="5"/>
  <c r="H156" i="5"/>
  <c r="I96" i="5"/>
  <c r="H96" i="5"/>
  <c r="F132" i="5"/>
  <c r="G132" i="5"/>
  <c r="F112" i="5"/>
  <c r="G112" i="5"/>
  <c r="F52" i="5"/>
  <c r="G52" i="5"/>
  <c r="I175" i="5"/>
  <c r="H175" i="5"/>
  <c r="I115" i="5"/>
  <c r="H115" i="5"/>
  <c r="I75" i="5"/>
  <c r="H75" i="5"/>
  <c r="I55" i="5"/>
  <c r="H55" i="5"/>
  <c r="I32" i="5"/>
  <c r="H32" i="5"/>
  <c r="G171" i="5"/>
  <c r="F171" i="5"/>
  <c r="G151" i="5"/>
  <c r="F151" i="5"/>
  <c r="G131" i="5"/>
  <c r="F131" i="5"/>
  <c r="G111" i="5"/>
  <c r="F111" i="5"/>
  <c r="G91" i="5"/>
  <c r="F91" i="5"/>
  <c r="G71" i="5"/>
  <c r="F71" i="5"/>
  <c r="G51" i="5"/>
  <c r="F51" i="5"/>
  <c r="G27" i="5"/>
  <c r="F27" i="5"/>
  <c r="I174" i="5"/>
  <c r="H174" i="5"/>
  <c r="I154" i="5"/>
  <c r="H154" i="5"/>
  <c r="I134" i="5"/>
  <c r="H134" i="5"/>
  <c r="I114" i="5"/>
  <c r="H114" i="5"/>
  <c r="I94" i="5"/>
  <c r="H94" i="5"/>
  <c r="I74" i="5"/>
  <c r="H74" i="5"/>
  <c r="I54" i="5"/>
  <c r="H54" i="5"/>
  <c r="I28" i="5"/>
  <c r="H28" i="5"/>
  <c r="G167" i="5"/>
  <c r="F167" i="5"/>
  <c r="I29" i="5"/>
  <c r="H29" i="5"/>
  <c r="G187" i="5"/>
  <c r="F187" i="5"/>
  <c r="G67" i="5"/>
  <c r="F67" i="5"/>
  <c r="I110" i="5"/>
  <c r="H110" i="5"/>
  <c r="G143" i="5"/>
  <c r="F143" i="5"/>
  <c r="I146" i="5"/>
  <c r="H146" i="5"/>
  <c r="G162" i="5"/>
  <c r="F162" i="5"/>
  <c r="G122" i="5"/>
  <c r="F122" i="5"/>
  <c r="G82" i="5"/>
  <c r="F82" i="5"/>
  <c r="G42" i="5"/>
  <c r="F42" i="5"/>
  <c r="I185" i="5"/>
  <c r="H185" i="5"/>
  <c r="I125" i="5"/>
  <c r="H125" i="5"/>
  <c r="I45" i="5"/>
  <c r="H45" i="5"/>
  <c r="G80" i="5"/>
  <c r="F80" i="5"/>
  <c r="F153" i="5"/>
  <c r="G153" i="5"/>
  <c r="F93" i="5"/>
  <c r="G93" i="5"/>
  <c r="G30" i="5"/>
  <c r="F30" i="5"/>
  <c r="I136" i="5"/>
  <c r="H136" i="5"/>
  <c r="I76" i="5"/>
  <c r="H76" i="5"/>
  <c r="F152" i="5"/>
  <c r="G152" i="5"/>
  <c r="F72" i="5"/>
  <c r="G72" i="5"/>
  <c r="I155" i="5"/>
  <c r="H155" i="5"/>
  <c r="G170" i="5"/>
  <c r="F170" i="5"/>
  <c r="G130" i="5"/>
  <c r="F130" i="5"/>
  <c r="G90" i="5"/>
  <c r="F90" i="5"/>
  <c r="G50" i="5"/>
  <c r="F50" i="5"/>
  <c r="F34" i="5"/>
  <c r="G34" i="5"/>
  <c r="I153" i="5"/>
  <c r="H153" i="5"/>
  <c r="I113" i="5"/>
  <c r="H113" i="5"/>
  <c r="I73" i="5"/>
  <c r="H73" i="5"/>
  <c r="I35" i="5"/>
  <c r="H35" i="5"/>
  <c r="G189" i="5"/>
  <c r="F189" i="5"/>
  <c r="G169" i="5"/>
  <c r="F169" i="5"/>
  <c r="G149" i="5"/>
  <c r="F149" i="5"/>
  <c r="G129" i="5"/>
  <c r="F129" i="5"/>
  <c r="G109" i="5"/>
  <c r="F109" i="5"/>
  <c r="G89" i="5"/>
  <c r="F89" i="5"/>
  <c r="G69" i="5"/>
  <c r="F69" i="5"/>
  <c r="G49" i="5"/>
  <c r="F49" i="5"/>
  <c r="G26" i="5"/>
  <c r="F26" i="5"/>
  <c r="I172" i="5"/>
  <c r="H172" i="5"/>
  <c r="I152" i="5"/>
  <c r="H152" i="5"/>
  <c r="I132" i="5"/>
  <c r="H132" i="5"/>
  <c r="I112" i="5"/>
  <c r="H112" i="5"/>
  <c r="I92" i="5"/>
  <c r="H92" i="5"/>
  <c r="I72" i="5"/>
  <c r="H72" i="5"/>
  <c r="I52" i="5"/>
  <c r="H52" i="5"/>
  <c r="I30" i="5"/>
  <c r="H30" i="5"/>
  <c r="I170" i="5"/>
  <c r="H170" i="5"/>
  <c r="I49" i="5"/>
  <c r="H49" i="5"/>
  <c r="G63" i="5"/>
  <c r="F63" i="5"/>
  <c r="I106" i="5"/>
  <c r="H106" i="5"/>
  <c r="G180" i="5"/>
  <c r="F180" i="5"/>
  <c r="G40" i="5"/>
  <c r="F40" i="5"/>
  <c r="I143" i="5"/>
  <c r="H143" i="5"/>
  <c r="I103" i="5"/>
  <c r="H103" i="5"/>
  <c r="F133" i="5"/>
  <c r="G133" i="5"/>
  <c r="F73" i="5"/>
  <c r="G73" i="5"/>
  <c r="I176" i="5"/>
  <c r="H176" i="5"/>
  <c r="I116" i="5"/>
  <c r="H116" i="5"/>
  <c r="I56" i="5"/>
  <c r="H56" i="5"/>
  <c r="F172" i="5"/>
  <c r="G172" i="5"/>
  <c r="F92" i="5"/>
  <c r="G92" i="5"/>
  <c r="F33" i="5"/>
  <c r="G33" i="5"/>
  <c r="I135" i="5"/>
  <c r="H135" i="5"/>
  <c r="I95" i="5"/>
  <c r="H95" i="5"/>
  <c r="G150" i="5"/>
  <c r="F150" i="5"/>
  <c r="G110" i="5"/>
  <c r="F110" i="5"/>
  <c r="G70" i="5"/>
  <c r="F70" i="5"/>
  <c r="I173" i="5"/>
  <c r="H173" i="5"/>
  <c r="I133" i="5"/>
  <c r="H133" i="5"/>
  <c r="I93" i="5"/>
  <c r="H93" i="5"/>
  <c r="I53" i="5"/>
  <c r="H53" i="5"/>
  <c r="F32" i="5"/>
  <c r="G32" i="5"/>
  <c r="G188" i="5"/>
  <c r="F188" i="5"/>
  <c r="G168" i="5"/>
  <c r="F168" i="5"/>
  <c r="G148" i="5"/>
  <c r="F148" i="5"/>
  <c r="G128" i="5"/>
  <c r="F128" i="5"/>
  <c r="G108" i="5"/>
  <c r="F108" i="5"/>
  <c r="G88" i="5"/>
  <c r="F88" i="5"/>
  <c r="G68" i="5"/>
  <c r="F68" i="5"/>
  <c r="G48" i="5"/>
  <c r="F48" i="5"/>
  <c r="G31" i="5"/>
  <c r="F31" i="5"/>
  <c r="I171" i="5"/>
  <c r="H171" i="5"/>
  <c r="I151" i="5"/>
  <c r="H151" i="5"/>
  <c r="I131" i="5"/>
  <c r="H131" i="5"/>
  <c r="I111" i="5"/>
  <c r="H111" i="5"/>
  <c r="I91" i="5"/>
  <c r="H91" i="5"/>
  <c r="I71" i="5"/>
  <c r="H71" i="5"/>
  <c r="I51" i="5"/>
  <c r="H51" i="5"/>
  <c r="I33" i="5"/>
  <c r="H33" i="5"/>
  <c r="I8" i="1"/>
  <c r="I6" i="5" s="1"/>
  <c r="G6" i="5"/>
  <c r="A167" i="5"/>
  <c r="A104" i="5"/>
  <c r="A53" i="5"/>
  <c r="A93" i="5"/>
  <c r="A113" i="5"/>
  <c r="A173" i="5"/>
  <c r="A124" i="5"/>
  <c r="A47" i="5"/>
  <c r="A79" i="5"/>
  <c r="A99" i="5"/>
  <c r="A90" i="5"/>
  <c r="A91" i="5"/>
  <c r="A125" i="5"/>
  <c r="A164" i="5"/>
  <c r="A102" i="5"/>
  <c r="A122" i="5"/>
  <c r="A142" i="5"/>
  <c r="A59" i="5"/>
  <c r="A144" i="5"/>
  <c r="A62" i="5"/>
  <c r="A75" i="5"/>
  <c r="A182" i="5"/>
  <c r="A60" i="5"/>
  <c r="A170" i="5"/>
  <c r="A64" i="5"/>
  <c r="A77" i="5"/>
  <c r="A42" i="5"/>
  <c r="A137" i="5"/>
  <c r="A175" i="5"/>
  <c r="A97" i="5"/>
  <c r="A180" i="5"/>
  <c r="A95" i="5"/>
  <c r="A184" i="5"/>
  <c r="A55" i="5"/>
  <c r="A120" i="5"/>
  <c r="A57" i="5"/>
  <c r="A130" i="5"/>
  <c r="A136" i="5"/>
  <c r="A65" i="5"/>
  <c r="A84" i="5"/>
  <c r="A165" i="5"/>
  <c r="A49" i="5"/>
  <c r="A67" i="5"/>
  <c r="A52" i="5"/>
  <c r="A112" i="5"/>
  <c r="A89" i="5"/>
  <c r="A149" i="5"/>
  <c r="A119" i="5"/>
  <c r="A177" i="5"/>
  <c r="A69" i="5"/>
  <c r="A189" i="5"/>
  <c r="A129" i="5"/>
  <c r="A135" i="5"/>
  <c r="A169" i="5"/>
  <c r="A100" i="5"/>
  <c r="A181" i="5"/>
  <c r="A107" i="5"/>
  <c r="A71" i="5"/>
  <c r="A108" i="5"/>
  <c r="A147" i="5"/>
  <c r="A68" i="5"/>
  <c r="A73" i="5"/>
  <c r="A110" i="5"/>
  <c r="A148" i="5"/>
  <c r="A131" i="5"/>
  <c r="A151" i="5"/>
  <c r="A115" i="5"/>
  <c r="A50" i="5"/>
  <c r="A117" i="5"/>
  <c r="A162" i="5"/>
  <c r="A111" i="5"/>
  <c r="A81" i="5"/>
  <c r="A155" i="5"/>
  <c r="A51" i="5"/>
  <c r="A87" i="5"/>
  <c r="A88" i="5"/>
  <c r="A150" i="5"/>
  <c r="A132" i="5"/>
  <c r="A72" i="5"/>
  <c r="A168" i="5"/>
  <c r="A101" i="5"/>
  <c r="A109" i="5"/>
  <c r="A140" i="5"/>
  <c r="A171" i="5"/>
  <c r="A80" i="5"/>
  <c r="A141" i="5"/>
  <c r="A172" i="5"/>
  <c r="A92" i="5"/>
  <c r="A152" i="5"/>
  <c r="A121" i="5"/>
  <c r="A160" i="5"/>
  <c r="A61" i="5"/>
  <c r="A161" i="5"/>
  <c r="A139" i="5"/>
  <c r="A127" i="5"/>
  <c r="A187" i="5"/>
  <c r="A70" i="5"/>
  <c r="A157" i="5"/>
  <c r="A128" i="5"/>
  <c r="A188" i="5"/>
  <c r="A44" i="5"/>
  <c r="A48" i="5"/>
  <c r="A106" i="5"/>
  <c r="A153" i="5"/>
  <c r="A82" i="5"/>
  <c r="A85" i="5"/>
  <c r="A133" i="5"/>
  <c r="A159" i="5"/>
  <c r="A86" i="5"/>
  <c r="A185" i="5"/>
  <c r="A45" i="5"/>
  <c r="A166" i="5"/>
  <c r="A186" i="5"/>
  <c r="A46" i="5"/>
  <c r="A145" i="5"/>
  <c r="A146" i="5"/>
  <c r="A66" i="5"/>
  <c r="A126" i="5"/>
  <c r="A105" i="5"/>
  <c r="A40" i="5"/>
  <c r="A74" i="5"/>
  <c r="A56" i="5"/>
  <c r="A76" i="5"/>
  <c r="A96" i="5"/>
  <c r="A116" i="5"/>
  <c r="A156" i="5"/>
  <c r="A176" i="5"/>
  <c r="A58" i="5"/>
  <c r="A78" i="5"/>
  <c r="A98" i="5"/>
  <c r="A118" i="5"/>
  <c r="A138" i="5"/>
  <c r="A158" i="5"/>
  <c r="A178" i="5"/>
  <c r="A134" i="5"/>
  <c r="A54" i="5"/>
  <c r="A94" i="5"/>
  <c r="A114" i="5"/>
  <c r="A154" i="5"/>
  <c r="A174" i="5"/>
  <c r="A43" i="5"/>
  <c r="A63" i="5"/>
  <c r="A83" i="5"/>
  <c r="A103" i="5"/>
  <c r="A123" i="5"/>
  <c r="A143" i="5"/>
  <c r="A163" i="5"/>
  <c r="A183" i="5"/>
  <c r="I7" i="1" l="1"/>
  <c r="I5" i="5" s="1"/>
  <c r="A37" i="5"/>
  <c r="A39" i="5"/>
  <c r="A38" i="5"/>
  <c r="A36" i="5"/>
  <c r="A41" i="5"/>
  <c r="A12" i="5" l="1"/>
  <c r="A10" i="5"/>
  <c r="A22" i="5"/>
  <c r="A15" i="5"/>
  <c r="A27" i="5"/>
  <c r="A26" i="5"/>
  <c r="A19" i="5"/>
  <c r="A17" i="5"/>
  <c r="A20" i="5"/>
  <c r="A5" i="5"/>
  <c r="A33" i="5"/>
  <c r="A28" i="5"/>
  <c r="A29" i="5"/>
  <c r="A35" i="5"/>
  <c r="A16" i="5"/>
  <c r="A24" i="5"/>
  <c r="A18" i="5"/>
  <c r="A14" i="5"/>
  <c r="A23" i="5"/>
  <c r="A30" i="5"/>
  <c r="A34" i="5"/>
  <c r="A13" i="5"/>
  <c r="A8" i="5"/>
  <c r="A9" i="5"/>
  <c r="A21" i="5"/>
  <c r="A11" i="5"/>
  <c r="A31" i="5"/>
  <c r="A32" i="5"/>
  <c r="A6" i="5"/>
  <c r="A7" i="5"/>
</calcChain>
</file>

<file path=xl/sharedStrings.xml><?xml version="1.0" encoding="utf-8"?>
<sst xmlns="http://schemas.openxmlformats.org/spreadsheetml/2006/main" count="256" uniqueCount="86">
  <si>
    <t xml:space="preserve">IBM &amp; OLYMPIC GAMES 2026 Guessing Game
</t>
  </si>
  <si>
    <t>Game 
Date</t>
  </si>
  <si>
    <t>Time: GMT +1</t>
  </si>
  <si>
    <r>
      <rPr>
        <b/>
        <sz val="11"/>
        <color rgb="FFFFFFFF"/>
        <rFont val="Calibri"/>
      </rPr>
      <t>Rules:</t>
    </r>
    <r>
      <rPr>
        <sz val="11"/>
        <color rgb="FFFFFFFF"/>
        <rFont val="Calibri"/>
      </rPr>
      <t xml:space="preserve"> Guess just </t>
    </r>
    <r>
      <rPr>
        <b/>
        <sz val="11"/>
        <color rgb="FFFFC000"/>
        <rFont val="Calibri"/>
      </rPr>
      <t>final score</t>
    </r>
    <r>
      <rPr>
        <sz val="11"/>
        <color rgb="FFFFFFFF"/>
        <rFont val="Calibri"/>
      </rPr>
      <t xml:space="preserve">, so </t>
    </r>
    <r>
      <rPr>
        <b/>
        <sz val="11"/>
        <color rgb="FFFFC000"/>
        <rFont val="Calibri"/>
      </rPr>
      <t>no draws can happen!!!</t>
    </r>
    <r>
      <rPr>
        <sz val="11"/>
        <color rgb="FFFFFFFF"/>
        <rFont val="Calibri"/>
      </rPr>
      <t xml:space="preserve">. 
If you guess </t>
    </r>
    <r>
      <rPr>
        <b/>
        <sz val="11"/>
        <color rgb="FFFFC000"/>
        <rFont val="Calibri"/>
      </rPr>
      <t>exact</t>
    </r>
    <r>
      <rPr>
        <sz val="11"/>
        <color rgb="FFFFFFFF"/>
        <rFont val="Calibri"/>
      </rPr>
      <t xml:space="preserve"> score of match: 4</t>
    </r>
    <r>
      <rPr>
        <b/>
        <sz val="11"/>
        <color rgb="FFFFC000"/>
        <rFont val="Calibri"/>
      </rPr>
      <t>pts</t>
    </r>
    <r>
      <rPr>
        <sz val="11"/>
        <color rgb="FFFFFFFF"/>
        <rFont val="Calibri"/>
      </rPr>
      <t xml:space="preserve">, if you guess the </t>
    </r>
    <r>
      <rPr>
        <b/>
        <sz val="11"/>
        <color rgb="FFFFC000"/>
        <rFont val="Calibri"/>
      </rPr>
      <t>winner</t>
    </r>
    <r>
      <rPr>
        <sz val="11"/>
        <color rgb="FFFFFFFF"/>
        <rFont val="Calibri"/>
      </rPr>
      <t xml:space="preserve"> of match</t>
    </r>
    <r>
      <rPr>
        <b/>
        <sz val="11"/>
        <color rgb="FFFFC000"/>
        <rFont val="Calibri"/>
      </rPr>
      <t xml:space="preserve"> and number of goals</t>
    </r>
    <r>
      <rPr>
        <sz val="11"/>
        <color rgb="FFFFFFFF"/>
        <rFont val="Calibri"/>
      </rPr>
      <t xml:space="preserve"> scored by </t>
    </r>
    <r>
      <rPr>
        <b/>
        <sz val="11"/>
        <color rgb="FFFFC000"/>
        <rFont val="Calibri"/>
      </rPr>
      <t>home or away</t>
    </r>
    <r>
      <rPr>
        <sz val="11"/>
        <color rgb="FFFFFFFF"/>
        <rFont val="Calibri"/>
      </rPr>
      <t xml:space="preserve"> team: </t>
    </r>
    <r>
      <rPr>
        <b/>
        <sz val="11"/>
        <color rgb="FFFFC000"/>
        <rFont val="Calibri"/>
      </rPr>
      <t>2pts,</t>
    </r>
    <r>
      <rPr>
        <sz val="11"/>
        <color rgb="FFFFFFFF"/>
        <rFont val="Calibri"/>
      </rPr>
      <t xml:space="preserve"> if you guess just the </t>
    </r>
    <r>
      <rPr>
        <b/>
        <sz val="11"/>
        <color rgb="FFFFC000"/>
        <rFont val="Calibri"/>
      </rPr>
      <t>winner</t>
    </r>
    <r>
      <rPr>
        <sz val="11"/>
        <color rgb="FFFFFFFF"/>
        <rFont val="Calibri"/>
      </rPr>
      <t xml:space="preserve">: </t>
    </r>
    <r>
      <rPr>
        <b/>
        <sz val="11"/>
        <color rgb="FFFFC000"/>
        <rFont val="Calibri"/>
      </rPr>
      <t>1pts</t>
    </r>
    <r>
      <rPr>
        <sz val="11"/>
        <color rgb="FFFFFFFF"/>
        <rFont val="Calibri"/>
      </rPr>
      <t xml:space="preserve">. In </t>
    </r>
    <r>
      <rPr>
        <b/>
        <sz val="11"/>
        <color rgb="FFFFC000"/>
        <rFont val="Calibri"/>
      </rPr>
      <t>PLAY OFF</t>
    </r>
    <r>
      <rPr>
        <sz val="11"/>
        <color rgb="FFFFFFFF"/>
        <rFont val="Calibri"/>
      </rPr>
      <t xml:space="preserve"> you receive </t>
    </r>
    <r>
      <rPr>
        <b/>
        <sz val="11"/>
        <color rgb="FFFFC000"/>
        <rFont val="Calibri"/>
      </rPr>
      <t>+1 point</t>
    </r>
    <r>
      <rPr>
        <sz val="11"/>
        <color rgb="FFFFFFFF"/>
        <rFont val="Calibri"/>
      </rPr>
      <t xml:space="preserve"> for each mentioned scenario</t>
    </r>
  </si>
  <si>
    <t>Matches</t>
  </si>
  <si>
    <t>SVK</t>
  </si>
  <si>
    <t xml:space="preserve"> Points</t>
  </si>
  <si>
    <t>SWE</t>
  </si>
  <si>
    <t>Points</t>
  </si>
  <si>
    <t>SUI</t>
  </si>
  <si>
    <t>CZE</t>
  </si>
  <si>
    <t>LAT</t>
  </si>
  <si>
    <t>GER</t>
  </si>
  <si>
    <t>FIN</t>
  </si>
  <si>
    <t>ITA</t>
  </si>
  <si>
    <t>FRA</t>
  </si>
  <si>
    <t>CAN</t>
  </si>
  <si>
    <t>USA</t>
  </si>
  <si>
    <t>DEN</t>
  </si>
  <si>
    <t>TBD</t>
  </si>
  <si>
    <t>vs</t>
  </si>
  <si>
    <t>ID</t>
  </si>
  <si>
    <t>Name</t>
  </si>
  <si>
    <t>Mail</t>
  </si>
  <si>
    <t>Country</t>
  </si>
  <si>
    <t>Filled 
matches</t>
  </si>
  <si>
    <t>Accurate 
guesses</t>
  </si>
  <si>
    <t>Group-stage
Points</t>
  </si>
  <si>
    <t>Play-off
Points</t>
  </si>
  <si>
    <t>Total 
Points</t>
  </si>
  <si>
    <t>Results:</t>
  </si>
  <si>
    <t>Peter Niroda</t>
  </si>
  <si>
    <t>peter.niroda@sk.ibm.cm</t>
  </si>
  <si>
    <t>Slovakia</t>
  </si>
  <si>
    <t>0:4</t>
  </si>
  <si>
    <t>6:0</t>
  </si>
  <si>
    <t>5:1</t>
  </si>
  <si>
    <t>1:4</t>
  </si>
  <si>
    <t>3:2</t>
  </si>
  <si>
    <t>2:3</t>
  </si>
  <si>
    <t>1:3</t>
  </si>
  <si>
    <t>4:0</t>
  </si>
  <si>
    <t>3:0</t>
  </si>
  <si>
    <t>5:0</t>
  </si>
  <si>
    <t>3:1</t>
  </si>
  <si>
    <t>1:2</t>
  </si>
  <si>
    <t>4:1</t>
  </si>
  <si>
    <t>Marek Kramara</t>
  </si>
  <si>
    <t>marek.kramara@sk.ibm.com</t>
  </si>
  <si>
    <t>Daniel Stransky</t>
  </si>
  <si>
    <t>daniel.stransky@ib.com</t>
  </si>
  <si>
    <t>2:1</t>
  </si>
  <si>
    <t>0:3</t>
  </si>
  <si>
    <t>2:0</t>
  </si>
  <si>
    <t>Peter Juhas</t>
  </si>
  <si>
    <t>peter.juhas@ibm.com</t>
  </si>
  <si>
    <t>Tomas Uhrin</t>
  </si>
  <si>
    <t>TomasUhrin1@sk.ibm.com</t>
  </si>
  <si>
    <t>2:2</t>
  </si>
  <si>
    <t>Filip Oscipovsky</t>
  </si>
  <si>
    <t>filip.oscipovsky@sk.ibm.com</t>
  </si>
  <si>
    <t>7:1</t>
  </si>
  <si>
    <t>4:6</t>
  </si>
  <si>
    <t>5:3</t>
  </si>
  <si>
    <t>2:4</t>
  </si>
  <si>
    <t>1:6</t>
  </si>
  <si>
    <t>5:2</t>
  </si>
  <si>
    <t>4:3</t>
  </si>
  <si>
    <t>7:0</t>
  </si>
  <si>
    <t>Petra Jankurová</t>
  </si>
  <si>
    <t>petra.jankurova@ibm.com</t>
  </si>
  <si>
    <t>Martin Kopka</t>
  </si>
  <si>
    <t>martin.kopka1@ibm.com</t>
  </si>
  <si>
    <t>8:1</t>
  </si>
  <si>
    <t>1:5</t>
  </si>
  <si>
    <t>4:2</t>
  </si>
  <si>
    <t>Andrej Galad</t>
  </si>
  <si>
    <t>andrej.galad@ibm.com</t>
  </si>
  <si>
    <t>6:1</t>
  </si>
  <si>
    <t>2:5</t>
  </si>
  <si>
    <t>STANDINGS</t>
  </si>
  <si>
    <t>Place</t>
  </si>
  <si>
    <t>Guesses</t>
  </si>
  <si>
    <t>Accurate Guesses</t>
  </si>
  <si>
    <t>Group Stage Points</t>
  </si>
  <si>
    <t>Playoff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</si>
</sst>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h:mm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24"/>
      <color rgb="FFFFFFFF"/>
      <name val="Calibri"/>
      <family val="2"/>
      <scheme val="minor"/>
    </font>
    <font>
      <sz val="20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rgb="FFFFC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1">
    <xf numFmtId="0" fontId="0" fillId="0" borderId="0" xfId="0"/>
    <xf numFmtId="0" fontId="1" fillId="0" borderId="1" xfId="0" applyFont="1" applyBorder="1" applyAlignment="1">
      <alignment horizontal="right"/>
    </xf>
    <xf numFmtId="164" fontId="1" fillId="6" borderId="0" xfId="0" applyNumberFormat="1" applyFont="1" applyFill="1"/>
    <xf numFmtId="0" fontId="0" fillId="6" borderId="0" xfId="0" applyFill="1"/>
    <xf numFmtId="0" fontId="1" fillId="0" borderId="8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0" fillId="6" borderId="20" xfId="0" applyFill="1" applyBorder="1"/>
    <xf numFmtId="164" fontId="1" fillId="6" borderId="8" xfId="0" applyNumberFormat="1" applyFont="1" applyFill="1" applyBorder="1"/>
    <xf numFmtId="0" fontId="0" fillId="6" borderId="21" xfId="0" applyFill="1" applyBorder="1"/>
    <xf numFmtId="0" fontId="2" fillId="0" borderId="8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5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164" fontId="1" fillId="6" borderId="6" xfId="0" applyNumberFormat="1" applyFont="1" applyFill="1" applyBorder="1"/>
    <xf numFmtId="0" fontId="0" fillId="0" borderId="0" xfId="0" applyAlignment="1">
      <alignment horizontal="left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4" xfId="0" quotePrefix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quotePrefix="1" applyBorder="1" applyAlignment="1">
      <alignment horizontal="center"/>
    </xf>
    <xf numFmtId="0" fontId="1" fillId="11" borderId="27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 applyProtection="1">
      <alignment horizontal="left" vertical="center"/>
      <protection hidden="1"/>
    </xf>
    <xf numFmtId="0" fontId="0" fillId="0" borderId="29" xfId="0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/>
    <xf numFmtId="0" fontId="1" fillId="11" borderId="26" xfId="0" applyFont="1" applyFill="1" applyBorder="1" applyAlignment="1">
      <alignment horizontal="left" vertical="center"/>
    </xf>
    <xf numFmtId="0" fontId="6" fillId="0" borderId="24" xfId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41" xfId="0" applyBorder="1" applyAlignment="1">
      <alignment horizontal="left"/>
    </xf>
    <xf numFmtId="0" fontId="6" fillId="0" borderId="41" xfId="1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6" fillId="0" borderId="29" xfId="1" applyBorder="1" applyAlignment="1">
      <alignment horizontal="center"/>
    </xf>
    <xf numFmtId="0" fontId="6" fillId="0" borderId="0" xfId="1"/>
    <xf numFmtId="0" fontId="6" fillId="0" borderId="0" xfId="1" applyAlignment="1">
      <alignment horizontal="center"/>
    </xf>
    <xf numFmtId="0" fontId="6" fillId="0" borderId="24" xfId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1" fillId="11" borderId="0" xfId="0" applyFont="1" applyFill="1" applyAlignment="1" applyProtection="1">
      <alignment horizontal="center" vertical="center"/>
      <protection hidden="1"/>
    </xf>
    <xf numFmtId="0" fontId="1" fillId="11" borderId="0" xfId="0" applyFont="1" applyFill="1" applyAlignment="1" applyProtection="1">
      <alignment horizontal="center"/>
      <protection hidden="1"/>
    </xf>
    <xf numFmtId="0" fontId="1" fillId="0" borderId="17" xfId="0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6" fillId="0" borderId="25" xfId="1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6" fillId="0" borderId="29" xfId="1" applyBorder="1" applyAlignment="1">
      <alignment horizontal="left"/>
    </xf>
    <xf numFmtId="0" fontId="6" fillId="0" borderId="41" xfId="1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3" xfId="0" quotePrefix="1" applyBorder="1" applyAlignment="1">
      <alignment horizontal="center"/>
    </xf>
    <xf numFmtId="0" fontId="6" fillId="0" borderId="43" xfId="1" applyBorder="1" applyAlignment="1">
      <alignment horizontal="left"/>
    </xf>
    <xf numFmtId="0" fontId="6" fillId="0" borderId="43" xfId="1" applyBorder="1" applyAlignment="1">
      <alignment horizontal="center"/>
    </xf>
    <xf numFmtId="0" fontId="6" fillId="0" borderId="44" xfId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5" xfId="0" quotePrefix="1" applyBorder="1" applyAlignment="1">
      <alignment horizontal="center"/>
    </xf>
    <xf numFmtId="0" fontId="6" fillId="0" borderId="46" xfId="1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33" xfId="0" applyBorder="1" applyAlignment="1">
      <alignment horizontal="left"/>
    </xf>
    <xf numFmtId="0" fontId="6" fillId="0" borderId="42" xfId="1" applyBorder="1" applyAlignment="1">
      <alignment horizontal="center"/>
    </xf>
    <xf numFmtId="0" fontId="0" fillId="0" borderId="25" xfId="0" quotePrefix="1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0" fillId="5" borderId="19" xfId="0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0" fillId="6" borderId="10" xfId="0" applyFill="1" applyBorder="1"/>
    <xf numFmtId="0" fontId="1" fillId="0" borderId="9" xfId="0" applyFont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20" fontId="1" fillId="2" borderId="0" xfId="0" applyNumberFormat="1" applyFont="1" applyFill="1" applyAlignment="1">
      <alignment wrapText="1"/>
    </xf>
    <xf numFmtId="20" fontId="1" fillId="3" borderId="1" xfId="0" applyNumberFormat="1" applyFont="1" applyFill="1" applyBorder="1"/>
    <xf numFmtId="20" fontId="1" fillId="3" borderId="8" xfId="0" applyNumberFormat="1" applyFont="1" applyFill="1" applyBorder="1"/>
    <xf numFmtId="20" fontId="1" fillId="4" borderId="9" xfId="0" applyNumberFormat="1" applyFont="1" applyFill="1" applyBorder="1" applyAlignment="1">
      <alignment wrapText="1"/>
    </xf>
    <xf numFmtId="20" fontId="1" fillId="4" borderId="0" xfId="0" applyNumberFormat="1" applyFont="1" applyFill="1" applyAlignment="1">
      <alignment wrapText="1"/>
    </xf>
    <xf numFmtId="20" fontId="1" fillId="3" borderId="11" xfId="0" applyNumberFormat="1" applyFont="1" applyFill="1" applyBorder="1" applyAlignment="1">
      <alignment vertical="center"/>
    </xf>
    <xf numFmtId="0" fontId="0" fillId="7" borderId="0" xfId="0" applyFill="1"/>
    <xf numFmtId="0" fontId="11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164" fontId="1" fillId="11" borderId="0" xfId="0" applyNumberFormat="1" applyFont="1" applyFill="1" applyAlignment="1">
      <alignment horizontal="center" vertical="center" wrapText="1"/>
    </xf>
    <xf numFmtId="20" fontId="1" fillId="3" borderId="11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164" fontId="1" fillId="16" borderId="0" xfId="0" applyNumberFormat="1" applyFont="1" applyFill="1" applyAlignment="1">
      <alignment horizontal="center" vertical="center" wrapText="1"/>
    </xf>
    <xf numFmtId="164" fontId="1" fillId="17" borderId="0" xfId="0" applyNumberFormat="1" applyFont="1" applyFill="1" applyAlignment="1">
      <alignment horizontal="center" vertical="center" wrapText="1"/>
    </xf>
    <xf numFmtId="20" fontId="1" fillId="15" borderId="11" xfId="0" applyNumberFormat="1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left" vertical="top" wrapText="1"/>
    </xf>
    <xf numFmtId="0" fontId="9" fillId="9" borderId="31" xfId="0" applyFont="1" applyFill="1" applyBorder="1" applyAlignment="1">
      <alignment horizontal="left" vertical="top"/>
    </xf>
    <xf numFmtId="0" fontId="9" fillId="9" borderId="32" xfId="0" applyFont="1" applyFill="1" applyBorder="1" applyAlignment="1">
      <alignment horizontal="left" vertical="top"/>
    </xf>
    <xf numFmtId="0" fontId="9" fillId="9" borderId="36" xfId="0" applyFont="1" applyFill="1" applyBorder="1" applyAlignment="1">
      <alignment horizontal="left" vertical="top"/>
    </xf>
    <xf numFmtId="0" fontId="9" fillId="9" borderId="0" xfId="0" applyFont="1" applyFill="1" applyAlignment="1">
      <alignment horizontal="left" vertical="top"/>
    </xf>
    <xf numFmtId="0" fontId="9" fillId="9" borderId="37" xfId="0" applyFont="1" applyFill="1" applyBorder="1" applyAlignment="1">
      <alignment horizontal="left" vertical="top"/>
    </xf>
    <xf numFmtId="0" fontId="9" fillId="9" borderId="38" xfId="0" applyFont="1" applyFill="1" applyBorder="1" applyAlignment="1">
      <alignment horizontal="left" vertical="top"/>
    </xf>
    <xf numFmtId="0" fontId="9" fillId="9" borderId="39" xfId="0" applyFont="1" applyFill="1" applyBorder="1" applyAlignment="1">
      <alignment horizontal="left" vertical="top"/>
    </xf>
    <xf numFmtId="0" fontId="9" fillId="9" borderId="40" xfId="0" applyFont="1" applyFill="1" applyBorder="1" applyAlignment="1">
      <alignment horizontal="left" vertical="top"/>
    </xf>
    <xf numFmtId="20" fontId="1" fillId="15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49" fontId="1" fillId="4" borderId="53" xfId="0" applyNumberFormat="1" applyFont="1" applyFill="1" applyBorder="1" applyAlignment="1">
      <alignment horizontal="center" vertical="center"/>
    </xf>
    <xf numFmtId="49" fontId="1" fillId="4" borderId="54" xfId="0" applyNumberFormat="1" applyFont="1" applyFill="1" applyBorder="1" applyAlignment="1">
      <alignment horizontal="center" vertical="center"/>
    </xf>
    <xf numFmtId="49" fontId="1" fillId="4" borderId="50" xfId="0" applyNumberFormat="1" applyFont="1" applyFill="1" applyBorder="1" applyAlignment="1">
      <alignment horizontal="center" vertical="center"/>
    </xf>
    <xf numFmtId="49" fontId="1" fillId="4" borderId="5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20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5" fontId="1" fillId="3" borderId="9" xfId="0" applyNumberFormat="1" applyFont="1" applyFill="1" applyBorder="1" applyAlignment="1">
      <alignment horizontal="center" wrapText="1"/>
    </xf>
    <xf numFmtId="165" fontId="1" fillId="3" borderId="0" xfId="0" applyNumberFormat="1" applyFont="1" applyFill="1" applyAlignment="1">
      <alignment horizontal="center" wrapText="1"/>
    </xf>
    <xf numFmtId="0" fontId="7" fillId="9" borderId="30" xfId="0" applyFont="1" applyFill="1" applyBorder="1" applyAlignment="1">
      <alignment horizontal="center" vertical="top" wrapText="1"/>
    </xf>
    <xf numFmtId="0" fontId="7" fillId="9" borderId="31" xfId="0" applyFont="1" applyFill="1" applyBorder="1" applyAlignment="1">
      <alignment horizontal="center" vertical="top" wrapText="1"/>
    </xf>
    <xf numFmtId="0" fontId="7" fillId="9" borderId="32" xfId="0" applyFont="1" applyFill="1" applyBorder="1" applyAlignment="1">
      <alignment horizontal="center" vertical="top" wrapText="1"/>
    </xf>
    <xf numFmtId="0" fontId="7" fillId="9" borderId="33" xfId="0" applyFont="1" applyFill="1" applyBorder="1" applyAlignment="1">
      <alignment horizontal="center" vertical="top" wrapText="1"/>
    </xf>
    <xf numFmtId="0" fontId="7" fillId="9" borderId="34" xfId="0" applyFont="1" applyFill="1" applyBorder="1" applyAlignment="1">
      <alignment horizontal="center" vertical="top" wrapText="1"/>
    </xf>
    <xf numFmtId="0" fontId="7" fillId="9" borderId="35" xfId="0" applyFont="1" applyFill="1" applyBorder="1" applyAlignment="1">
      <alignment horizontal="center" vertical="top" wrapText="1"/>
    </xf>
    <xf numFmtId="20" fontId="1" fillId="2" borderId="9" xfId="0" applyNumberFormat="1" applyFont="1" applyFill="1" applyBorder="1" applyAlignment="1">
      <alignment horizontal="center" wrapText="1"/>
    </xf>
    <xf numFmtId="20" fontId="1" fillId="2" borderId="0" xfId="0" applyNumberFormat="1" applyFont="1" applyFill="1" applyAlignment="1">
      <alignment horizontal="center" wrapText="1"/>
    </xf>
    <xf numFmtId="165" fontId="1" fillId="3" borderId="10" xfId="0" applyNumberFormat="1" applyFont="1" applyFill="1" applyBorder="1" applyAlignment="1">
      <alignment horizontal="center" wrapText="1"/>
    </xf>
    <xf numFmtId="20" fontId="1" fillId="2" borderId="5" xfId="0" applyNumberFormat="1" applyFont="1" applyFill="1" applyBorder="1" applyAlignment="1">
      <alignment horizontal="center" wrapText="1"/>
    </xf>
    <xf numFmtId="20" fontId="1" fillId="2" borderId="6" xfId="0" applyNumberFormat="1" applyFont="1" applyFill="1" applyBorder="1" applyAlignment="1">
      <alignment horizontal="center" wrapText="1"/>
    </xf>
    <xf numFmtId="0" fontId="0" fillId="9" borderId="10" xfId="0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20" fontId="1" fillId="11" borderId="11" xfId="0" applyNumberFormat="1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20" fontId="1" fillId="13" borderId="9" xfId="0" applyNumberFormat="1" applyFont="1" applyFill="1" applyBorder="1" applyAlignment="1">
      <alignment horizontal="center" wrapText="1"/>
    </xf>
    <xf numFmtId="20" fontId="1" fillId="13" borderId="0" xfId="0" applyNumberFormat="1" applyFont="1" applyFill="1" applyAlignment="1">
      <alignment horizontal="center" wrapText="1"/>
    </xf>
    <xf numFmtId="0" fontId="3" fillId="0" borderId="19" xfId="0" applyFont="1" applyBorder="1" applyAlignment="1">
      <alignment horizontal="center" vertical="center"/>
    </xf>
    <xf numFmtId="165" fontId="1" fillId="14" borderId="5" xfId="0" applyNumberFormat="1" applyFont="1" applyFill="1" applyBorder="1" applyAlignment="1">
      <alignment horizontal="center" wrapText="1"/>
    </xf>
    <xf numFmtId="165" fontId="1" fillId="14" borderId="6" xfId="0" applyNumberFormat="1" applyFont="1" applyFill="1" applyBorder="1" applyAlignment="1">
      <alignment horizontal="center" wrapText="1"/>
    </xf>
    <xf numFmtId="20" fontId="1" fillId="13" borderId="5" xfId="0" applyNumberFormat="1" applyFont="1" applyFill="1" applyBorder="1" applyAlignment="1">
      <alignment horizontal="center" wrapText="1"/>
    </xf>
    <xf numFmtId="20" fontId="1" fillId="13" borderId="6" xfId="0" applyNumberFormat="1" applyFont="1" applyFill="1" applyBorder="1" applyAlignment="1">
      <alignment horizontal="center" wrapText="1"/>
    </xf>
    <xf numFmtId="165" fontId="1" fillId="11" borderId="6" xfId="0" applyNumberFormat="1" applyFont="1" applyFill="1" applyBorder="1" applyAlignment="1">
      <alignment horizontal="center" wrapText="1"/>
    </xf>
    <xf numFmtId="164" fontId="1" fillId="10" borderId="0" xfId="0" applyNumberFormat="1" applyFont="1" applyFill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 wrapText="1"/>
    </xf>
    <xf numFmtId="20" fontId="1" fillId="4" borderId="9" xfId="0" applyNumberFormat="1" applyFont="1" applyFill="1" applyBorder="1" applyAlignment="1">
      <alignment horizontal="center" wrapText="1"/>
    </xf>
    <xf numFmtId="20" fontId="1" fillId="4" borderId="0" xfId="0" applyNumberFormat="1" applyFont="1" applyFill="1" applyAlignment="1">
      <alignment horizontal="center" wrapText="1"/>
    </xf>
    <xf numFmtId="49" fontId="1" fillId="4" borderId="3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59" xfId="0" applyNumberFormat="1" applyFont="1" applyFill="1" applyBorder="1" applyAlignment="1">
      <alignment horizontal="center" vertical="center"/>
    </xf>
    <xf numFmtId="49" fontId="1" fillId="4" borderId="60" xfId="0" applyNumberFormat="1" applyFont="1" applyFill="1" applyBorder="1" applyAlignment="1">
      <alignment horizontal="center" vertical="center"/>
    </xf>
    <xf numFmtId="49" fontId="1" fillId="4" borderId="61" xfId="0" applyNumberFormat="1" applyFont="1" applyFill="1" applyBorder="1" applyAlignment="1">
      <alignment horizontal="center" vertical="center"/>
    </xf>
    <xf numFmtId="49" fontId="1" fillId="4" borderId="62" xfId="0" applyNumberFormat="1" applyFont="1" applyFill="1" applyBorder="1" applyAlignment="1">
      <alignment horizontal="center" vertical="center"/>
    </xf>
    <xf numFmtId="49" fontId="1" fillId="4" borderId="56" xfId="0" applyNumberFormat="1" applyFont="1" applyFill="1" applyBorder="1" applyAlignment="1">
      <alignment horizontal="center" vertical="center"/>
    </xf>
    <xf numFmtId="49" fontId="1" fillId="4" borderId="57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4" borderId="58" xfId="0" applyNumberFormat="1" applyFont="1" applyFill="1" applyBorder="1" applyAlignment="1">
      <alignment horizontal="center" vertical="center"/>
    </xf>
    <xf numFmtId="0" fontId="8" fillId="12" borderId="0" xfId="0" applyFont="1" applyFill="1" applyAlignment="1" applyProtection="1">
      <alignment horizontal="center" vertical="center"/>
      <protection hidden="1"/>
    </xf>
  </cellXfs>
  <cellStyles count="2">
    <cellStyle name="Hyperlink" xfId="1" xr:uid="{00000000-000B-0000-0000-000008000000}"/>
    <cellStyle name="Normal" xfId="0" builtinId="0"/>
  </cellStyles>
  <dxfs count="26"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xlsrvcdf"/><Relationship Id="rId13" Type="http://schemas.openxmlformats.org/officeDocument/2006/relationships/hyperlink" Target="https://en.m.wikipedia.org/wiki/File:Flag_of_France.svg" TargetMode="External"/><Relationship Id="rId18" Type="http://schemas.openxmlformats.org/officeDocument/2006/relationships/image" Target="../media/image10.xlsrvcdf"/><Relationship Id="rId3" Type="http://schemas.openxmlformats.org/officeDocument/2006/relationships/image" Target="../media/image2.xlsrvcdf"/><Relationship Id="rId21" Type="http://schemas.openxmlformats.org/officeDocument/2006/relationships/hyperlink" Target="https://www.flickr.com/photos/lac-bac/6483307775" TargetMode="External"/><Relationship Id="rId7" Type="http://schemas.openxmlformats.org/officeDocument/2006/relationships/image" Target="../media/image4.xlsrvcdf"/><Relationship Id="rId12" Type="http://schemas.openxmlformats.org/officeDocument/2006/relationships/image" Target="../media/image7.xlsrvcdf"/><Relationship Id="rId17" Type="http://schemas.openxmlformats.org/officeDocument/2006/relationships/hyperlink" Target="https://commons.wikimedia.org/wiki/File:Flag_of_Switzerland.svg" TargetMode="External"/><Relationship Id="rId2" Type="http://schemas.openxmlformats.org/officeDocument/2006/relationships/hyperlink" Target="https://de.wikipedia.org/wiki/Datei:Flag_of_Finland.svg" TargetMode="External"/><Relationship Id="rId16" Type="http://schemas.openxmlformats.org/officeDocument/2006/relationships/image" Target="../media/image9.xlsrvcdf"/><Relationship Id="rId20" Type="http://schemas.openxmlformats.org/officeDocument/2006/relationships/image" Target="../media/image11.xlsrvcdf"/><Relationship Id="rId1" Type="http://schemas.openxmlformats.org/officeDocument/2006/relationships/image" Target="../media/image1.xlsrvcdf"/><Relationship Id="rId6" Type="http://schemas.openxmlformats.org/officeDocument/2006/relationships/hyperlink" Target="https://commons.wikimedia.org/wiki/File:Flag_of_the_Czech_Republic.svg" TargetMode="External"/><Relationship Id="rId11" Type="http://schemas.openxmlformats.org/officeDocument/2006/relationships/hyperlink" Target="https://de.wikipedia.org/wiki/Datei:Flag_of_Sweden.svg" TargetMode="External"/><Relationship Id="rId24" Type="http://schemas.openxmlformats.org/officeDocument/2006/relationships/image" Target="../media/image14.jpeg"/><Relationship Id="rId5" Type="http://schemas.openxmlformats.org/officeDocument/2006/relationships/image" Target="../media/image3.xlsrvcdf"/><Relationship Id="rId15" Type="http://schemas.openxmlformats.org/officeDocument/2006/relationships/hyperlink" Target="https://en.wikipedia.org/wiki/Flag_of_Denmark" TargetMode="External"/><Relationship Id="rId23" Type="http://schemas.openxmlformats.org/officeDocument/2006/relationships/image" Target="../media/image13.jpeg"/><Relationship Id="rId10" Type="http://schemas.openxmlformats.org/officeDocument/2006/relationships/image" Target="../media/image6.xlsrvcdf"/><Relationship Id="rId19" Type="http://schemas.openxmlformats.org/officeDocument/2006/relationships/hyperlink" Target="http://commons.wikimedia.org/wiki/File:Flag_of_Latvia.svg" TargetMode="External"/><Relationship Id="rId4" Type="http://schemas.openxmlformats.org/officeDocument/2006/relationships/hyperlink" Target="https://en.wikipedia.org/wiki/United_States_at_the_2008_Summer_Olympics" TargetMode="External"/><Relationship Id="rId9" Type="http://schemas.openxmlformats.org/officeDocument/2006/relationships/hyperlink" Target="https://simple.wikipedia.org/wiki/File:Flag_of_Germany_(3-2_aspect_ratio).svg" TargetMode="External"/><Relationship Id="rId14" Type="http://schemas.openxmlformats.org/officeDocument/2006/relationships/image" Target="../media/image8.xlsrvcdf"/><Relationship Id="rId2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59038</xdr:colOff>
      <xdr:row>4</xdr:row>
      <xdr:rowOff>22654</xdr:rowOff>
    </xdr:from>
    <xdr:to>
      <xdr:col>10</xdr:col>
      <xdr:colOff>344788</xdr:colOff>
      <xdr:row>4</xdr:row>
      <xdr:rowOff>184579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3D2939-3B5B-CDD7-E92C-4D6C65CC3AEF}"/>
            </a:ext>
            <a:ext uri="{147F2762-F138-4A5C-976F-8EAC2B608ADB}">
              <a16:predDERef xmlns:a16="http://schemas.microsoft.com/office/drawing/2014/main" pred="{B5F7702B-4801-8168-0157-1382F09C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882238" y="905304"/>
          <a:ext cx="285750" cy="161925"/>
        </a:xfrm>
        <a:prstGeom prst="rect">
          <a:avLst/>
        </a:prstGeom>
      </xdr:spPr>
    </xdr:pic>
    <xdr:clientData/>
  </xdr:twoCellAnchor>
  <xdr:twoCellAnchor editAs="oneCell">
    <xdr:from>
      <xdr:col>19</xdr:col>
      <xdr:colOff>16329</xdr:colOff>
      <xdr:row>4</xdr:row>
      <xdr:rowOff>31750</xdr:rowOff>
    </xdr:from>
    <xdr:to>
      <xdr:col>19</xdr:col>
      <xdr:colOff>321129</xdr:colOff>
      <xdr:row>4</xdr:row>
      <xdr:rowOff>184150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30447F-B73D-5BA2-0865-07A1E6D9AF5F}"/>
            </a:ext>
            <a:ext uri="{147F2762-F138-4A5C-976F-8EAC2B608ADB}">
              <a16:predDERef xmlns:a16="http://schemas.microsoft.com/office/drawing/2014/main" pred="{323D2939-3B5B-CDD7-E92C-4D6C65CC3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1027229" y="917575"/>
          <a:ext cx="304800" cy="152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2</xdr:row>
      <xdr:rowOff>39757</xdr:rowOff>
    </xdr:from>
    <xdr:to>
      <xdr:col>17</xdr:col>
      <xdr:colOff>371475</xdr:colOff>
      <xdr:row>2</xdr:row>
      <xdr:rowOff>182632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0CF6A1-34CA-4706-9F2A-19A606509D75}"/>
            </a:ext>
            <a:ext uri="{147F2762-F138-4A5C-976F-8EAC2B608ADB}">
              <a16:predDERef xmlns:a16="http://schemas.microsoft.com/office/drawing/2014/main" pred="{BB30447F-B73D-5BA2-0865-07A1E6D9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0125075" y="563632"/>
          <a:ext cx="257175" cy="142875"/>
        </a:xfrm>
        <a:prstGeom prst="rect">
          <a:avLst/>
        </a:prstGeom>
      </xdr:spPr>
    </xdr:pic>
    <xdr:clientData/>
  </xdr:twoCellAnchor>
  <xdr:twoCellAnchor editAs="oneCell">
    <xdr:from>
      <xdr:col>10</xdr:col>
      <xdr:colOff>30279</xdr:colOff>
      <xdr:row>2</xdr:row>
      <xdr:rowOff>19525</xdr:rowOff>
    </xdr:from>
    <xdr:to>
      <xdr:col>10</xdr:col>
      <xdr:colOff>344260</xdr:colOff>
      <xdr:row>3</xdr:row>
      <xdr:rowOff>35436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0BCCF3-4094-40E9-ADFA-609EC0C3F341}"/>
            </a:ext>
            <a:ext uri="{147F2762-F138-4A5C-976F-8EAC2B608ADB}">
              <a16:predDERef xmlns:a16="http://schemas.microsoft.com/office/drawing/2014/main" pred="{600CF6A1-34CA-4706-9F2A-19A60650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17869" y="541495"/>
          <a:ext cx="313981" cy="206411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66674</xdr:colOff>
      <xdr:row>2</xdr:row>
      <xdr:rowOff>30908</xdr:rowOff>
    </xdr:from>
    <xdr:to>
      <xdr:col>21</xdr:col>
      <xdr:colOff>339361</xdr:colOff>
      <xdr:row>3</xdr:row>
      <xdr:rowOff>9221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82FAFA-4322-38A0-AB3A-95385F03F4CD}"/>
            </a:ext>
            <a:ext uri="{147F2762-F138-4A5C-976F-8EAC2B608ADB}">
              <a16:predDERef xmlns:a16="http://schemas.microsoft.com/office/drawing/2014/main" pred="{A20BCCF3-4094-40E9-ADFA-609EC0C3F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039599" y="554783"/>
          <a:ext cx="272687" cy="168813"/>
        </a:xfrm>
        <a:prstGeom prst="rect">
          <a:avLst/>
        </a:prstGeom>
      </xdr:spPr>
    </xdr:pic>
    <xdr:clientData/>
  </xdr:twoCellAnchor>
  <xdr:twoCellAnchor editAs="oneCell">
    <xdr:from>
      <xdr:col>12</xdr:col>
      <xdr:colOff>44748</xdr:colOff>
      <xdr:row>2</xdr:row>
      <xdr:rowOff>14773</xdr:rowOff>
    </xdr:from>
    <xdr:to>
      <xdr:col>12</xdr:col>
      <xdr:colOff>356326</xdr:colOff>
      <xdr:row>3</xdr:row>
      <xdr:rowOff>8912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03D0154-6770-CEB5-0E8E-054E1ECE1C8C}"/>
            </a:ext>
            <a:ext uri="{147F2762-F138-4A5C-976F-8EAC2B608ADB}">
              <a16:predDERef xmlns:a16="http://schemas.microsoft.com/office/drawing/2014/main" pred="{D782FAFA-4322-38A0-AB3A-95385F03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8525808" y="536743"/>
          <a:ext cx="311578" cy="184639"/>
        </a:xfrm>
        <a:prstGeom prst="rect">
          <a:avLst/>
        </a:prstGeom>
      </xdr:spPr>
    </xdr:pic>
    <xdr:clientData/>
  </xdr:twoCellAnchor>
  <xdr:twoCellAnchor editAs="oneCell">
    <xdr:from>
      <xdr:col>15</xdr:col>
      <xdr:colOff>87562</xdr:colOff>
      <xdr:row>4</xdr:row>
      <xdr:rowOff>28280</xdr:rowOff>
    </xdr:from>
    <xdr:to>
      <xdr:col>15</xdr:col>
      <xdr:colOff>361882</xdr:colOff>
      <xdr:row>4</xdr:row>
      <xdr:rowOff>203845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DA1ECBC-132E-4285-447D-F88B8CD578BD}"/>
            </a:ext>
            <a:ext uri="{147F2762-F138-4A5C-976F-8EAC2B608ADB}">
              <a16:predDERef xmlns:a16="http://schemas.microsoft.com/office/drawing/2014/main" pred="{C03D0154-6770-CEB5-0E8E-054E1ECE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8983912" y="914105"/>
          <a:ext cx="274320" cy="175565"/>
        </a:xfrm>
        <a:prstGeom prst="rect">
          <a:avLst/>
        </a:prstGeom>
      </xdr:spPr>
    </xdr:pic>
    <xdr:clientData/>
  </xdr:twoCellAnchor>
  <xdr:twoCellAnchor editAs="oneCell">
    <xdr:from>
      <xdr:col>46</xdr:col>
      <xdr:colOff>47353</xdr:colOff>
      <xdr:row>2</xdr:row>
      <xdr:rowOff>27544</xdr:rowOff>
    </xdr:from>
    <xdr:to>
      <xdr:col>46</xdr:col>
      <xdr:colOff>350608</xdr:colOff>
      <xdr:row>3</xdr:row>
      <xdr:rowOff>25176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4E4F4F0-848B-DC57-190F-CEDCB197A9DB}"/>
            </a:ext>
            <a:ext uri="{147F2762-F138-4A5C-976F-8EAC2B608ADB}">
              <a16:predDERef xmlns:a16="http://schemas.microsoft.com/office/drawing/2014/main" pred="{C85868BA-371C-A3EB-BAAD-E76DA42BC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837473B0-CC2E-450A-ABE3-18F120FF3D39}">
              <a1611:picAttrSrcUrl xmlns:a1611="http://schemas.microsoft.com/office/drawing/2016/11/main" r:id="rId15"/>
            </a:ext>
          </a:extLst>
        </a:blip>
        <a:stretch>
          <a:fillRect/>
        </a:stretch>
      </xdr:blipFill>
      <xdr:spPr>
        <a:xfrm>
          <a:off x="25242883" y="549514"/>
          <a:ext cx="303255" cy="188132"/>
        </a:xfrm>
        <a:prstGeom prst="rect">
          <a:avLst/>
        </a:prstGeom>
      </xdr:spPr>
    </xdr:pic>
    <xdr:clientData/>
  </xdr:twoCellAnchor>
  <xdr:twoCellAnchor editAs="oneCell">
    <xdr:from>
      <xdr:col>30</xdr:col>
      <xdr:colOff>103958</xdr:colOff>
      <xdr:row>4</xdr:row>
      <xdr:rowOff>51118</xdr:rowOff>
    </xdr:from>
    <xdr:to>
      <xdr:col>30</xdr:col>
      <xdr:colOff>294458</xdr:colOff>
      <xdr:row>4</xdr:row>
      <xdr:rowOff>186645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F1E75CB-65C0-E322-CD1F-C93797BBB8BE}"/>
            </a:ext>
            <a:ext uri="{147F2762-F138-4A5C-976F-8EAC2B608ADB}">
              <a16:predDERef xmlns:a16="http://schemas.microsoft.com/office/drawing/2014/main" pred="{04E4F4F0-848B-DC57-190F-CEDCB197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837473B0-CC2E-450A-ABE3-18F120FF3D39}">
              <a1611:picAttrSrcUrl xmlns:a1611="http://schemas.microsoft.com/office/drawing/2016/11/main" r:id="rId17"/>
            </a:ext>
          </a:extLst>
        </a:blip>
        <a:stretch>
          <a:fillRect/>
        </a:stretch>
      </xdr:blipFill>
      <xdr:spPr>
        <a:xfrm>
          <a:off x="15963083" y="936943"/>
          <a:ext cx="190500" cy="135527"/>
        </a:xfrm>
        <a:prstGeom prst="rect">
          <a:avLst/>
        </a:prstGeom>
      </xdr:spPr>
    </xdr:pic>
    <xdr:clientData/>
  </xdr:twoCellAnchor>
  <xdr:twoCellAnchor editAs="oneCell">
    <xdr:from>
      <xdr:col>19</xdr:col>
      <xdr:colOff>29999</xdr:colOff>
      <xdr:row>2</xdr:row>
      <xdr:rowOff>37035</xdr:rowOff>
    </xdr:from>
    <xdr:to>
      <xdr:col>19</xdr:col>
      <xdr:colOff>304319</xdr:colOff>
      <xdr:row>2</xdr:row>
      <xdr:rowOff>188384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8232968F-49BD-64FC-0E28-2E339ED2CD4C}"/>
            </a:ext>
            <a:ext uri="{147F2762-F138-4A5C-976F-8EAC2B608ADB}">
              <a16:predDERef xmlns:a16="http://schemas.microsoft.com/office/drawing/2014/main" pred="{DF1E75CB-65C0-E322-CD1F-C93797BB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837473B0-CC2E-450A-ABE3-18F120FF3D39}">
              <a1611:picAttrSrcUrl xmlns:a1611="http://schemas.microsoft.com/office/drawing/2016/11/main" r:id="rId19"/>
            </a:ext>
          </a:extLst>
        </a:blip>
        <a:stretch>
          <a:fillRect/>
        </a:stretch>
      </xdr:blipFill>
      <xdr:spPr>
        <a:xfrm>
          <a:off x="11040899" y="560910"/>
          <a:ext cx="274320" cy="151349"/>
        </a:xfrm>
        <a:prstGeom prst="rect">
          <a:avLst/>
        </a:prstGeom>
      </xdr:spPr>
    </xdr:pic>
    <xdr:clientData/>
  </xdr:twoCellAnchor>
  <xdr:twoCellAnchor editAs="oneCell">
    <xdr:from>
      <xdr:col>35</xdr:col>
      <xdr:colOff>111469</xdr:colOff>
      <xdr:row>2</xdr:row>
      <xdr:rowOff>47470</xdr:rowOff>
    </xdr:from>
    <xdr:to>
      <xdr:col>35</xdr:col>
      <xdr:colOff>340069</xdr:colOff>
      <xdr:row>2</xdr:row>
      <xdr:rowOff>190345</xdr:rowOff>
    </xdr:to>
    <xdr:pic>
      <xdr:nvPicPr>
        <xdr:cNvPr id="103" name="Picture 6">
          <a:extLst>
            <a:ext uri="{FF2B5EF4-FFF2-40B4-BE49-F238E27FC236}">
              <a16:creationId xmlns:a16="http://schemas.microsoft.com/office/drawing/2014/main" id="{AF802C27-6334-43F7-93EF-1BFEB51E7A77}"/>
            </a:ext>
            <a:ext uri="{147F2762-F138-4A5C-976F-8EAC2B608ADB}">
              <a16:predDERef xmlns:a16="http://schemas.microsoft.com/office/drawing/2014/main" pred="{EBA4DEA2-E116-18B7-9ACA-6130E11EC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9576759" y="569440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24</xdr:col>
      <xdr:colOff>39062</xdr:colOff>
      <xdr:row>2</xdr:row>
      <xdr:rowOff>32385</xdr:rowOff>
    </xdr:from>
    <xdr:to>
      <xdr:col>24</xdr:col>
      <xdr:colOff>323414</xdr:colOff>
      <xdr:row>3</xdr:row>
      <xdr:rowOff>7757</xdr:rowOff>
    </xdr:to>
    <xdr:pic>
      <xdr:nvPicPr>
        <xdr:cNvPr id="113" name="Picture 2">
          <a:extLst>
            <a:ext uri="{FF2B5EF4-FFF2-40B4-BE49-F238E27FC236}">
              <a16:creationId xmlns:a16="http://schemas.microsoft.com/office/drawing/2014/main" id="{36C69C44-4BC2-4E88-A246-ABB051861DE8}"/>
            </a:ext>
            <a:ext uri="{147F2762-F138-4A5C-976F-8EAC2B608ADB}">
              <a16:predDERef xmlns:a16="http://schemas.microsoft.com/office/drawing/2014/main" pred="{AF802C27-6334-43F7-93EF-1BFEB51E7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069262" y="556260"/>
          <a:ext cx="284352" cy="165872"/>
        </a:xfrm>
        <a:prstGeom prst="rect">
          <a:avLst/>
        </a:prstGeom>
      </xdr:spPr>
    </xdr:pic>
    <xdr:clientData/>
  </xdr:twoCellAnchor>
  <xdr:twoCellAnchor editAs="oneCell">
    <xdr:from>
      <xdr:col>26</xdr:col>
      <xdr:colOff>36177</xdr:colOff>
      <xdr:row>3</xdr:row>
      <xdr:rowOff>169887</xdr:rowOff>
    </xdr:from>
    <xdr:to>
      <xdr:col>26</xdr:col>
      <xdr:colOff>310497</xdr:colOff>
      <xdr:row>4</xdr:row>
      <xdr:rowOff>184975</xdr:rowOff>
    </xdr:to>
    <xdr:pic>
      <xdr:nvPicPr>
        <xdr:cNvPr id="123" name="Picture 22">
          <a:extLst>
            <a:ext uri="{FF2B5EF4-FFF2-40B4-BE49-F238E27FC236}">
              <a16:creationId xmlns:a16="http://schemas.microsoft.com/office/drawing/2014/main" id="{49130F02-0424-47BE-95DD-4D6C8E570F22}"/>
            </a:ext>
            <a:ext uri="{147F2762-F138-4A5C-976F-8EAC2B608ADB}">
              <a16:predDERef xmlns:a16="http://schemas.microsoft.com/office/drawing/2014/main" pred="{36C69C44-4BC2-4E88-A246-ABB051861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09352" y="884262"/>
          <a:ext cx="274320" cy="186538"/>
        </a:xfrm>
        <a:prstGeom prst="rect">
          <a:avLst/>
        </a:prstGeom>
      </xdr:spPr>
    </xdr:pic>
    <xdr:clientData/>
  </xdr:twoCellAnchor>
  <xdr:twoCellAnchor editAs="oneCell">
    <xdr:from>
      <xdr:col>35</xdr:col>
      <xdr:colOff>113940</xdr:colOff>
      <xdr:row>4</xdr:row>
      <xdr:rowOff>53340</xdr:rowOff>
    </xdr:from>
    <xdr:to>
      <xdr:col>35</xdr:col>
      <xdr:colOff>361590</xdr:colOff>
      <xdr:row>4</xdr:row>
      <xdr:rowOff>186690</xdr:rowOff>
    </xdr:to>
    <xdr:pic>
      <xdr:nvPicPr>
        <xdr:cNvPr id="129" name="Picture 82">
          <a:extLst>
            <a:ext uri="{FF2B5EF4-FFF2-40B4-BE49-F238E27FC236}">
              <a16:creationId xmlns:a16="http://schemas.microsoft.com/office/drawing/2014/main" id="{838DD9EB-C4F6-495B-9D60-D471AD4A7DE1}"/>
            </a:ext>
            <a:ext uri="{147F2762-F138-4A5C-976F-8EAC2B608ADB}">
              <a16:predDERef xmlns:a16="http://schemas.microsoft.com/office/drawing/2014/main" pred="{49130F02-0424-47BE-95DD-4D6C8E57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837473B0-CC2E-450A-ABE3-18F120FF3D39}">
              <a1611:picAttrSrcUrl xmlns:a1611="http://schemas.microsoft.com/office/drawing/2016/11/main" r:id="rId19"/>
            </a:ext>
          </a:extLst>
        </a:blip>
        <a:stretch>
          <a:fillRect/>
        </a:stretch>
      </xdr:blipFill>
      <xdr:spPr>
        <a:xfrm>
          <a:off x="19579230" y="937260"/>
          <a:ext cx="247650" cy="133350"/>
        </a:xfrm>
        <a:prstGeom prst="rect">
          <a:avLst/>
        </a:prstGeom>
      </xdr:spPr>
    </xdr:pic>
    <xdr:clientData/>
  </xdr:twoCellAnchor>
  <xdr:twoCellAnchor editAs="oneCell">
    <xdr:from>
      <xdr:col>39</xdr:col>
      <xdr:colOff>81280</xdr:colOff>
      <xdr:row>2</xdr:row>
      <xdr:rowOff>28575</xdr:rowOff>
    </xdr:from>
    <xdr:to>
      <xdr:col>39</xdr:col>
      <xdr:colOff>379730</xdr:colOff>
      <xdr:row>3</xdr:row>
      <xdr:rowOff>7894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85BC3C6-FDDB-4ACA-9C7D-09C86E19A9BC}"/>
            </a:ext>
            <a:ext uri="{147F2762-F138-4A5C-976F-8EAC2B608ADB}">
              <a16:predDERef xmlns:a16="http://schemas.microsoft.com/office/drawing/2014/main" pred="{838DD9EB-C4F6-495B-9D60-D471AD4A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1851620" y="550545"/>
          <a:ext cx="298450" cy="169819"/>
        </a:xfrm>
        <a:prstGeom prst="rect">
          <a:avLst/>
        </a:prstGeom>
      </xdr:spPr>
    </xdr:pic>
    <xdr:clientData/>
  </xdr:twoCellAnchor>
  <xdr:twoCellAnchor editAs="oneCell">
    <xdr:from>
      <xdr:col>48</xdr:col>
      <xdr:colOff>108857</xdr:colOff>
      <xdr:row>2</xdr:row>
      <xdr:rowOff>42999</xdr:rowOff>
    </xdr:from>
    <xdr:to>
      <xdr:col>48</xdr:col>
      <xdr:colOff>375557</xdr:colOff>
      <xdr:row>3</xdr:row>
      <xdr:rowOff>4899</xdr:rowOff>
    </xdr:to>
    <xdr:pic>
      <xdr:nvPicPr>
        <xdr:cNvPr id="150" name="Picture 4">
          <a:extLst>
            <a:ext uri="{FF2B5EF4-FFF2-40B4-BE49-F238E27FC236}">
              <a16:creationId xmlns:a16="http://schemas.microsoft.com/office/drawing/2014/main" id="{D81C695B-DDD9-4E32-94E6-367464AAAABA}"/>
            </a:ext>
            <a:ext uri="{147F2762-F138-4A5C-976F-8EAC2B608ADB}">
              <a16:predDERef xmlns:a16="http://schemas.microsoft.com/office/drawing/2014/main" pred="{985BC3C6-FDDB-4ACA-9C7D-09C86E19A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6439767" y="564969"/>
          <a:ext cx="266700" cy="152400"/>
        </a:xfrm>
        <a:prstGeom prst="rect">
          <a:avLst/>
        </a:prstGeom>
      </xdr:spPr>
    </xdr:pic>
    <xdr:clientData/>
  </xdr:twoCellAnchor>
  <xdr:twoCellAnchor editAs="oneCell">
    <xdr:from>
      <xdr:col>30</xdr:col>
      <xdr:colOff>62865</xdr:colOff>
      <xdr:row>2</xdr:row>
      <xdr:rowOff>19050</xdr:rowOff>
    </xdr:from>
    <xdr:to>
      <xdr:col>30</xdr:col>
      <xdr:colOff>320040</xdr:colOff>
      <xdr:row>2</xdr:row>
      <xdr:rowOff>180975</xdr:rowOff>
    </xdr:to>
    <xdr:pic>
      <xdr:nvPicPr>
        <xdr:cNvPr id="178" name="Picture 70">
          <a:extLst>
            <a:ext uri="{FF2B5EF4-FFF2-40B4-BE49-F238E27FC236}">
              <a16:creationId xmlns:a16="http://schemas.microsoft.com/office/drawing/2014/main" id="{59E8B3EB-1ABB-4C73-9614-95A5F29FDEEF}"/>
            </a:ext>
            <a:ext uri="{147F2762-F138-4A5C-976F-8EAC2B608ADB}">
              <a16:predDERef xmlns:a16="http://schemas.microsoft.com/office/drawing/2014/main" pred="{D81C695B-DDD9-4E32-94E6-367464AAA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837473B0-CC2E-450A-ABE3-18F120FF3D39}">
              <a1611:picAttrSrcUrl xmlns:a1611="http://schemas.microsoft.com/office/drawing/2016/11/main" r:id="rId21"/>
            </a:ext>
          </a:extLst>
        </a:blip>
        <a:stretch>
          <a:fillRect/>
        </a:stretch>
      </xdr:blipFill>
      <xdr:spPr>
        <a:xfrm>
          <a:off x="15921990" y="542925"/>
          <a:ext cx="257175" cy="161925"/>
        </a:xfrm>
        <a:prstGeom prst="rect">
          <a:avLst/>
        </a:prstGeom>
      </xdr:spPr>
    </xdr:pic>
    <xdr:clientData/>
  </xdr:twoCellAnchor>
  <xdr:twoCellAnchor editAs="oneCell">
    <xdr:from>
      <xdr:col>44</xdr:col>
      <xdr:colOff>66040</xdr:colOff>
      <xdr:row>2</xdr:row>
      <xdr:rowOff>25400</xdr:rowOff>
    </xdr:from>
    <xdr:to>
      <xdr:col>44</xdr:col>
      <xdr:colOff>380365</xdr:colOff>
      <xdr:row>2</xdr:row>
      <xdr:rowOff>187325</xdr:rowOff>
    </xdr:to>
    <xdr:pic>
      <xdr:nvPicPr>
        <xdr:cNvPr id="186" name="Picture 70">
          <a:extLst>
            <a:ext uri="{FF2B5EF4-FFF2-40B4-BE49-F238E27FC236}">
              <a16:creationId xmlns:a16="http://schemas.microsoft.com/office/drawing/2014/main" id="{69F5E282-41BB-4909-A9C7-4EF18949BE5D}"/>
            </a:ext>
            <a:ext uri="{147F2762-F138-4A5C-976F-8EAC2B608ADB}">
              <a16:predDERef xmlns:a16="http://schemas.microsoft.com/office/drawing/2014/main" pred="{59E8B3EB-1ABB-4C73-9614-95A5F29FD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837473B0-CC2E-450A-ABE3-18F120FF3D39}">
              <a1611:picAttrSrcUrl xmlns:a1611="http://schemas.microsoft.com/office/drawing/2016/11/main" r:id="rId21"/>
            </a:ext>
          </a:extLst>
        </a:blip>
        <a:stretch>
          <a:fillRect/>
        </a:stretch>
      </xdr:blipFill>
      <xdr:spPr>
        <a:xfrm>
          <a:off x="24168100" y="547370"/>
          <a:ext cx="314325" cy="161925"/>
        </a:xfrm>
        <a:prstGeom prst="rect">
          <a:avLst/>
        </a:prstGeom>
      </xdr:spPr>
    </xdr:pic>
    <xdr:clientData/>
  </xdr:twoCellAnchor>
  <xdr:twoCellAnchor editAs="oneCell">
    <xdr:from>
      <xdr:col>46</xdr:col>
      <xdr:colOff>38169</xdr:colOff>
      <xdr:row>4</xdr:row>
      <xdr:rowOff>9525</xdr:rowOff>
    </xdr:from>
    <xdr:to>
      <xdr:col>46</xdr:col>
      <xdr:colOff>375920</xdr:colOff>
      <xdr:row>4</xdr:row>
      <xdr:rowOff>193675</xdr:rowOff>
    </xdr:to>
    <xdr:pic>
      <xdr:nvPicPr>
        <xdr:cNvPr id="195" name="Picture 82">
          <a:extLst>
            <a:ext uri="{FF2B5EF4-FFF2-40B4-BE49-F238E27FC236}">
              <a16:creationId xmlns:a16="http://schemas.microsoft.com/office/drawing/2014/main" id="{6F5CDA59-52CB-4FE2-8FB5-E38F82DBF3E3}"/>
            </a:ext>
            <a:ext uri="{147F2762-F138-4A5C-976F-8EAC2B608ADB}">
              <a16:predDERef xmlns:a16="http://schemas.microsoft.com/office/drawing/2014/main" pred="{69F5E282-41BB-4909-A9C7-4EF18949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837473B0-CC2E-450A-ABE3-18F120FF3D39}">
              <a1611:picAttrSrcUrl xmlns:a1611="http://schemas.microsoft.com/office/drawing/2016/11/main" r:id="rId19"/>
            </a:ext>
          </a:extLst>
        </a:blip>
        <a:stretch>
          <a:fillRect/>
        </a:stretch>
      </xdr:blipFill>
      <xdr:spPr>
        <a:xfrm>
          <a:off x="25233699" y="893445"/>
          <a:ext cx="337751" cy="184150"/>
        </a:xfrm>
        <a:prstGeom prst="rect">
          <a:avLst/>
        </a:prstGeom>
      </xdr:spPr>
    </xdr:pic>
    <xdr:clientData/>
  </xdr:twoCellAnchor>
  <xdr:twoCellAnchor editAs="oneCell">
    <xdr:from>
      <xdr:col>33</xdr:col>
      <xdr:colOff>69507</xdr:colOff>
      <xdr:row>4</xdr:row>
      <xdr:rowOff>18279</xdr:rowOff>
    </xdr:from>
    <xdr:to>
      <xdr:col>33</xdr:col>
      <xdr:colOff>336207</xdr:colOff>
      <xdr:row>4</xdr:row>
      <xdr:rowOff>180204</xdr:rowOff>
    </xdr:to>
    <xdr:pic>
      <xdr:nvPicPr>
        <xdr:cNvPr id="202" name="Picture 22">
          <a:extLst>
            <a:ext uri="{FF2B5EF4-FFF2-40B4-BE49-F238E27FC236}">
              <a16:creationId xmlns:a16="http://schemas.microsoft.com/office/drawing/2014/main" id="{8E038C7C-1FC8-4906-A20B-60698FE7611B}"/>
            </a:ext>
            <a:ext uri="{147F2762-F138-4A5C-976F-8EAC2B608ADB}">
              <a16:predDERef xmlns:a16="http://schemas.microsoft.com/office/drawing/2014/main" pred="{6F5CDA59-52CB-4FE2-8FB5-E38F82DB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10142" y="898698"/>
          <a:ext cx="266700" cy="161925"/>
        </a:xfrm>
        <a:prstGeom prst="rect">
          <a:avLst/>
        </a:prstGeom>
      </xdr:spPr>
    </xdr:pic>
    <xdr:clientData/>
  </xdr:twoCellAnchor>
  <xdr:twoCellAnchor editAs="oneCell">
    <xdr:from>
      <xdr:col>37</xdr:col>
      <xdr:colOff>55175</xdr:colOff>
      <xdr:row>2</xdr:row>
      <xdr:rowOff>22225</xdr:rowOff>
    </xdr:from>
    <xdr:to>
      <xdr:col>37</xdr:col>
      <xdr:colOff>333375</xdr:colOff>
      <xdr:row>3</xdr:row>
      <xdr:rowOff>11498</xdr:rowOff>
    </xdr:to>
    <xdr:pic>
      <xdr:nvPicPr>
        <xdr:cNvPr id="214" name="Picture 2">
          <a:extLst>
            <a:ext uri="{FF2B5EF4-FFF2-40B4-BE49-F238E27FC236}">
              <a16:creationId xmlns:a16="http://schemas.microsoft.com/office/drawing/2014/main" id="{805230FE-130E-4A6E-BFDD-274F2266C94C}"/>
            </a:ext>
            <a:ext uri="{147F2762-F138-4A5C-976F-8EAC2B608ADB}">
              <a16:predDERef xmlns:a16="http://schemas.microsoft.com/office/drawing/2014/main" pred="{155E99C0-9B36-4A2E-AFF7-51974DDE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6664850" y="542925"/>
          <a:ext cx="278200" cy="179773"/>
        </a:xfrm>
        <a:prstGeom prst="rect">
          <a:avLst/>
        </a:prstGeom>
      </xdr:spPr>
    </xdr:pic>
    <xdr:clientData/>
  </xdr:twoCellAnchor>
  <xdr:twoCellAnchor editAs="oneCell">
    <xdr:from>
      <xdr:col>48</xdr:col>
      <xdr:colOff>105393</xdr:colOff>
      <xdr:row>4</xdr:row>
      <xdr:rowOff>27443</xdr:rowOff>
    </xdr:from>
    <xdr:to>
      <xdr:col>48</xdr:col>
      <xdr:colOff>372093</xdr:colOff>
      <xdr:row>4</xdr:row>
      <xdr:rowOff>179843</xdr:rowOff>
    </xdr:to>
    <xdr:pic>
      <xdr:nvPicPr>
        <xdr:cNvPr id="220" name="Picture 6">
          <a:extLst>
            <a:ext uri="{FF2B5EF4-FFF2-40B4-BE49-F238E27FC236}">
              <a16:creationId xmlns:a16="http://schemas.microsoft.com/office/drawing/2014/main" id="{02B6C1B4-AAAA-47BF-BA73-48CC501D4EF6}"/>
            </a:ext>
            <a:ext uri="{147F2762-F138-4A5C-976F-8EAC2B608ADB}">
              <a16:predDERef xmlns:a16="http://schemas.microsoft.com/office/drawing/2014/main" pred="{805230FE-130E-4A6E-BFDD-274F2266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26436303" y="911363"/>
          <a:ext cx="266700" cy="152400"/>
        </a:xfrm>
        <a:prstGeom prst="rect">
          <a:avLst/>
        </a:prstGeom>
      </xdr:spPr>
    </xdr:pic>
    <xdr:clientData/>
  </xdr:twoCellAnchor>
  <xdr:twoCellAnchor editAs="oneCell">
    <xdr:from>
      <xdr:col>21</xdr:col>
      <xdr:colOff>63430</xdr:colOff>
      <xdr:row>4</xdr:row>
      <xdr:rowOff>35131</xdr:rowOff>
    </xdr:from>
    <xdr:to>
      <xdr:col>21</xdr:col>
      <xdr:colOff>337750</xdr:colOff>
      <xdr:row>4</xdr:row>
      <xdr:rowOff>191885</xdr:rowOff>
    </xdr:to>
    <xdr:pic>
      <xdr:nvPicPr>
        <xdr:cNvPr id="238" name="Picture 51">
          <a:extLst>
            <a:ext uri="{FF2B5EF4-FFF2-40B4-BE49-F238E27FC236}">
              <a16:creationId xmlns:a16="http://schemas.microsoft.com/office/drawing/2014/main" id="{D178D9A7-269A-4767-B124-17722B49BC7B}"/>
            </a:ext>
            <a:ext uri="{147F2762-F138-4A5C-976F-8EAC2B608ADB}">
              <a16:predDERef xmlns:a16="http://schemas.microsoft.com/office/drawing/2014/main" pred="{02B6C1B4-AAAA-47BF-BA73-48CC501D4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837473B0-CC2E-450A-ABE3-18F120FF3D39}">
              <a1611:picAttrSrcUrl xmlns:a1611="http://schemas.microsoft.com/office/drawing/2016/11/main" r:id="rId15"/>
            </a:ext>
          </a:extLst>
        </a:blip>
        <a:stretch>
          <a:fillRect/>
        </a:stretch>
      </xdr:blipFill>
      <xdr:spPr>
        <a:xfrm>
          <a:off x="12036355" y="920956"/>
          <a:ext cx="274320" cy="156754"/>
        </a:xfrm>
        <a:prstGeom prst="rect">
          <a:avLst/>
        </a:prstGeom>
      </xdr:spPr>
    </xdr:pic>
    <xdr:clientData/>
  </xdr:twoCellAnchor>
  <xdr:twoCellAnchor editAs="oneCell">
    <xdr:from>
      <xdr:col>39</xdr:col>
      <xdr:colOff>85450</xdr:colOff>
      <xdr:row>4</xdr:row>
      <xdr:rowOff>29348</xdr:rowOff>
    </xdr:from>
    <xdr:to>
      <xdr:col>39</xdr:col>
      <xdr:colOff>380725</xdr:colOff>
      <xdr:row>4</xdr:row>
      <xdr:rowOff>181748</xdr:rowOff>
    </xdr:to>
    <xdr:pic>
      <xdr:nvPicPr>
        <xdr:cNvPr id="250" name="Picture 51">
          <a:extLst>
            <a:ext uri="{FF2B5EF4-FFF2-40B4-BE49-F238E27FC236}">
              <a16:creationId xmlns:a16="http://schemas.microsoft.com/office/drawing/2014/main" id="{C2D357EF-277C-43B7-BFD5-0141BA56E0A1}"/>
            </a:ext>
            <a:ext uri="{147F2762-F138-4A5C-976F-8EAC2B608ADB}">
              <a16:predDERef xmlns:a16="http://schemas.microsoft.com/office/drawing/2014/main" pred="{11673389-686D-4D9D-B6E4-D2E893C70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837473B0-CC2E-450A-ABE3-18F120FF3D39}">
              <a1611:picAttrSrcUrl xmlns:a1611="http://schemas.microsoft.com/office/drawing/2016/11/main" r:id="rId15"/>
            </a:ext>
          </a:extLst>
        </a:blip>
        <a:stretch>
          <a:fillRect/>
        </a:stretch>
      </xdr:blipFill>
      <xdr:spPr>
        <a:xfrm>
          <a:off x="21855790" y="913268"/>
          <a:ext cx="295275" cy="152400"/>
        </a:xfrm>
        <a:prstGeom prst="rect">
          <a:avLst/>
        </a:prstGeom>
      </xdr:spPr>
    </xdr:pic>
    <xdr:clientData/>
  </xdr:twoCellAnchor>
  <xdr:twoCellAnchor editAs="oneCell">
    <xdr:from>
      <xdr:col>15</xdr:col>
      <xdr:colOff>117903</xdr:colOff>
      <xdr:row>2</xdr:row>
      <xdr:rowOff>19504</xdr:rowOff>
    </xdr:from>
    <xdr:to>
      <xdr:col>15</xdr:col>
      <xdr:colOff>313819</xdr:colOff>
      <xdr:row>3</xdr:row>
      <xdr:rowOff>10408</xdr:rowOff>
    </xdr:to>
    <xdr:pic>
      <xdr:nvPicPr>
        <xdr:cNvPr id="254" name="Picture 80">
          <a:extLst>
            <a:ext uri="{FF2B5EF4-FFF2-40B4-BE49-F238E27FC236}">
              <a16:creationId xmlns:a16="http://schemas.microsoft.com/office/drawing/2014/main" id="{AA2DDF7A-E89C-4BA0-A235-7111143BA0B4}"/>
            </a:ext>
            <a:ext uri="{147F2762-F138-4A5C-976F-8EAC2B608ADB}">
              <a16:predDERef xmlns:a16="http://schemas.microsoft.com/office/drawing/2014/main" pred="{C2D357EF-277C-43B7-BFD5-0141BA56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837473B0-CC2E-450A-ABE3-18F120FF3D39}">
              <a1611:picAttrSrcUrl xmlns:a1611="http://schemas.microsoft.com/office/drawing/2016/11/main" r:id="rId17"/>
            </a:ext>
          </a:extLst>
        </a:blip>
        <a:stretch>
          <a:fillRect/>
        </a:stretch>
      </xdr:blipFill>
      <xdr:spPr>
        <a:xfrm>
          <a:off x="9014253" y="543379"/>
          <a:ext cx="195916" cy="181404"/>
        </a:xfrm>
        <a:prstGeom prst="rect">
          <a:avLst/>
        </a:prstGeom>
      </xdr:spPr>
    </xdr:pic>
    <xdr:clientData/>
  </xdr:twoCellAnchor>
  <xdr:twoCellAnchor editAs="oneCell">
    <xdr:from>
      <xdr:col>42</xdr:col>
      <xdr:colOff>156055</xdr:colOff>
      <xdr:row>2</xdr:row>
      <xdr:rowOff>15445</xdr:rowOff>
    </xdr:from>
    <xdr:to>
      <xdr:col>42</xdr:col>
      <xdr:colOff>337030</xdr:colOff>
      <xdr:row>2</xdr:row>
      <xdr:rowOff>177370</xdr:rowOff>
    </xdr:to>
    <xdr:pic>
      <xdr:nvPicPr>
        <xdr:cNvPr id="266" name="Picture 80">
          <a:extLst>
            <a:ext uri="{FF2B5EF4-FFF2-40B4-BE49-F238E27FC236}">
              <a16:creationId xmlns:a16="http://schemas.microsoft.com/office/drawing/2014/main" id="{86E5542C-8025-4AA2-BDD6-21398029B9D0}"/>
            </a:ext>
            <a:ext uri="{147F2762-F138-4A5C-976F-8EAC2B608ADB}">
              <a16:predDERef xmlns:a16="http://schemas.microsoft.com/office/drawing/2014/main" pred="{3C3626C5-4512-41CC-84CA-00BFE123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837473B0-CC2E-450A-ABE3-18F120FF3D39}">
              <a1611:picAttrSrcUrl xmlns:a1611="http://schemas.microsoft.com/office/drawing/2016/11/main" r:id="rId17"/>
            </a:ext>
          </a:extLst>
        </a:blip>
        <a:stretch>
          <a:fillRect/>
        </a:stretch>
      </xdr:blipFill>
      <xdr:spPr>
        <a:xfrm>
          <a:off x="23103685" y="537415"/>
          <a:ext cx="180975" cy="161925"/>
        </a:xfrm>
        <a:prstGeom prst="rect">
          <a:avLst/>
        </a:prstGeom>
      </xdr:spPr>
    </xdr:pic>
    <xdr:clientData/>
  </xdr:twoCellAnchor>
  <xdr:twoCellAnchor editAs="oneCell">
    <xdr:from>
      <xdr:col>28</xdr:col>
      <xdr:colOff>84094</xdr:colOff>
      <xdr:row>2</xdr:row>
      <xdr:rowOff>42545</xdr:rowOff>
    </xdr:from>
    <xdr:to>
      <xdr:col>28</xdr:col>
      <xdr:colOff>350794</xdr:colOff>
      <xdr:row>3</xdr:row>
      <xdr:rowOff>4445</xdr:rowOff>
    </xdr:to>
    <xdr:pic>
      <xdr:nvPicPr>
        <xdr:cNvPr id="267" name="Picture 39">
          <a:extLst>
            <a:ext uri="{FF2B5EF4-FFF2-40B4-BE49-F238E27FC236}">
              <a16:creationId xmlns:a16="http://schemas.microsoft.com/office/drawing/2014/main" id="{D38634FE-9889-4C81-8538-0A6CC20D00A3}"/>
            </a:ext>
            <a:ext uri="{147F2762-F138-4A5C-976F-8EAC2B608ADB}">
              <a16:predDERef xmlns:a16="http://schemas.microsoft.com/office/drawing/2014/main" pred="{86E5542C-8025-4AA2-BDD6-21398029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16253734" y="564515"/>
          <a:ext cx="266700" cy="152400"/>
        </a:xfrm>
        <a:prstGeom prst="rect">
          <a:avLst/>
        </a:prstGeom>
      </xdr:spPr>
    </xdr:pic>
    <xdr:clientData/>
  </xdr:twoCellAnchor>
  <xdr:twoCellAnchor editAs="oneCell">
    <xdr:from>
      <xdr:col>44</xdr:col>
      <xdr:colOff>87219</xdr:colOff>
      <xdr:row>4</xdr:row>
      <xdr:rowOff>36401</xdr:rowOff>
    </xdr:from>
    <xdr:to>
      <xdr:col>44</xdr:col>
      <xdr:colOff>353919</xdr:colOff>
      <xdr:row>4</xdr:row>
      <xdr:rowOff>188801</xdr:rowOff>
    </xdr:to>
    <xdr:pic>
      <xdr:nvPicPr>
        <xdr:cNvPr id="285" name="Picture 39">
          <a:extLst>
            <a:ext uri="{FF2B5EF4-FFF2-40B4-BE49-F238E27FC236}">
              <a16:creationId xmlns:a16="http://schemas.microsoft.com/office/drawing/2014/main" id="{0F1FA754-5068-4E71-BF0E-24F90EF951F6}"/>
            </a:ext>
            <a:ext uri="{147F2762-F138-4A5C-976F-8EAC2B608ADB}">
              <a16:predDERef xmlns:a16="http://schemas.microsoft.com/office/drawing/2014/main" pred="{2B1969E6-FDD3-40E7-9DF4-63732DCE3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24189279" y="920321"/>
          <a:ext cx="266700" cy="152400"/>
        </a:xfrm>
        <a:prstGeom prst="rect">
          <a:avLst/>
        </a:prstGeom>
      </xdr:spPr>
    </xdr:pic>
    <xdr:clientData/>
  </xdr:twoCellAnchor>
  <xdr:twoCellAnchor editAs="oneCell">
    <xdr:from>
      <xdr:col>33</xdr:col>
      <xdr:colOff>52687</xdr:colOff>
      <xdr:row>2</xdr:row>
      <xdr:rowOff>38367</xdr:rowOff>
    </xdr:from>
    <xdr:to>
      <xdr:col>33</xdr:col>
      <xdr:colOff>342900</xdr:colOff>
      <xdr:row>3</xdr:row>
      <xdr:rowOff>9096</xdr:rowOff>
    </xdr:to>
    <xdr:pic>
      <xdr:nvPicPr>
        <xdr:cNvPr id="296" name="Picture 33">
          <a:extLst>
            <a:ext uri="{FF2B5EF4-FFF2-40B4-BE49-F238E27FC236}">
              <a16:creationId xmlns:a16="http://schemas.microsoft.com/office/drawing/2014/main" id="{E89BDFF3-25EF-4541-90E5-10A845C78DE6}"/>
            </a:ext>
            <a:ext uri="{147F2762-F138-4A5C-976F-8EAC2B608ADB}">
              <a16:predDERef xmlns:a16="http://schemas.microsoft.com/office/drawing/2014/main" pred="{BB261970-99F0-4F0F-BA4F-7BAE6675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18413077" y="560337"/>
          <a:ext cx="290213" cy="161229"/>
        </a:xfrm>
        <a:prstGeom prst="rect">
          <a:avLst/>
        </a:prstGeom>
      </xdr:spPr>
    </xdr:pic>
    <xdr:clientData/>
  </xdr:twoCellAnchor>
  <xdr:twoCellAnchor editAs="oneCell">
    <xdr:from>
      <xdr:col>28</xdr:col>
      <xdr:colOff>62934</xdr:colOff>
      <xdr:row>4</xdr:row>
      <xdr:rowOff>17385</xdr:rowOff>
    </xdr:from>
    <xdr:to>
      <xdr:col>28</xdr:col>
      <xdr:colOff>353060</xdr:colOff>
      <xdr:row>4</xdr:row>
      <xdr:rowOff>206598</xdr:rowOff>
    </xdr:to>
    <xdr:pic>
      <xdr:nvPicPr>
        <xdr:cNvPr id="302" name="Picture 15">
          <a:extLst>
            <a:ext uri="{FF2B5EF4-FFF2-40B4-BE49-F238E27FC236}">
              <a16:creationId xmlns:a16="http://schemas.microsoft.com/office/drawing/2014/main" id="{607D8A1D-4732-49A0-B301-46C7C56EA0F5}"/>
            </a:ext>
            <a:ext uri="{147F2762-F138-4A5C-976F-8EAC2B608ADB}">
              <a16:predDERef xmlns:a16="http://schemas.microsoft.com/office/drawing/2014/main" pred="{E89BDFF3-25EF-4541-90E5-10A845C7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6232574" y="901305"/>
          <a:ext cx="290126" cy="189213"/>
        </a:xfrm>
        <a:prstGeom prst="rect">
          <a:avLst/>
        </a:prstGeom>
      </xdr:spPr>
    </xdr:pic>
    <xdr:clientData/>
  </xdr:twoCellAnchor>
  <xdr:twoCellAnchor editAs="oneCell">
    <xdr:from>
      <xdr:col>42</xdr:col>
      <xdr:colOff>125593</xdr:colOff>
      <xdr:row>4</xdr:row>
      <xdr:rowOff>33021</xdr:rowOff>
    </xdr:from>
    <xdr:to>
      <xdr:col>42</xdr:col>
      <xdr:colOff>412955</xdr:colOff>
      <xdr:row>4</xdr:row>
      <xdr:rowOff>186965</xdr:rowOff>
    </xdr:to>
    <xdr:pic>
      <xdr:nvPicPr>
        <xdr:cNvPr id="305" name="Picture 15">
          <a:extLst>
            <a:ext uri="{FF2B5EF4-FFF2-40B4-BE49-F238E27FC236}">
              <a16:creationId xmlns:a16="http://schemas.microsoft.com/office/drawing/2014/main" id="{7FCB2932-DB31-4DCA-917F-50466E827863}"/>
            </a:ext>
            <a:ext uri="{147F2762-F138-4A5C-976F-8EAC2B608ADB}">
              <a16:predDERef xmlns:a16="http://schemas.microsoft.com/office/drawing/2014/main" pred="{607D8A1D-4732-49A0-B301-46C7C56E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3073223" y="916941"/>
          <a:ext cx="287362" cy="153944"/>
        </a:xfrm>
        <a:prstGeom prst="rect">
          <a:avLst/>
        </a:prstGeom>
      </xdr:spPr>
    </xdr:pic>
    <xdr:clientData/>
  </xdr:twoCellAnchor>
  <xdr:twoCellAnchor editAs="oneCell">
    <xdr:from>
      <xdr:col>17</xdr:col>
      <xdr:colOff>92261</xdr:colOff>
      <xdr:row>4</xdr:row>
      <xdr:rowOff>29708</xdr:rowOff>
    </xdr:from>
    <xdr:to>
      <xdr:col>17</xdr:col>
      <xdr:colOff>366581</xdr:colOff>
      <xdr:row>4</xdr:row>
      <xdr:rowOff>182108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2A82818-5EB8-D3FE-0FA7-39E0841491E6}"/>
            </a:ext>
            <a:ext uri="{147F2762-F138-4A5C-976F-8EAC2B608ADB}">
              <a16:predDERef xmlns:a16="http://schemas.microsoft.com/office/drawing/2014/main" pred="{7FCB2932-DB31-4DCA-917F-50466E82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837473B0-CC2E-450A-ABE3-18F120FF3D39}">
              <a1611:picAttrSrcUrl xmlns:a1611="http://schemas.microsoft.com/office/drawing/2016/11/main" r:id="rId21"/>
            </a:ext>
          </a:extLst>
        </a:blip>
        <a:stretch>
          <a:fillRect/>
        </a:stretch>
      </xdr:blipFill>
      <xdr:spPr>
        <a:xfrm>
          <a:off x="10103036" y="915533"/>
          <a:ext cx="274320" cy="152400"/>
        </a:xfrm>
        <a:prstGeom prst="rect">
          <a:avLst/>
        </a:prstGeom>
      </xdr:spPr>
    </xdr:pic>
    <xdr:clientData/>
  </xdr:twoCellAnchor>
  <xdr:twoCellAnchor editAs="oneCell">
    <xdr:from>
      <xdr:col>24</xdr:col>
      <xdr:colOff>35665</xdr:colOff>
      <xdr:row>4</xdr:row>
      <xdr:rowOff>30349</xdr:rowOff>
    </xdr:from>
    <xdr:to>
      <xdr:col>24</xdr:col>
      <xdr:colOff>309985</xdr:colOff>
      <xdr:row>4</xdr:row>
      <xdr:rowOff>203069</xdr:rowOff>
    </xdr:to>
    <xdr:pic>
      <xdr:nvPicPr>
        <xdr:cNvPr id="48" name="Picture 33">
          <a:extLst>
            <a:ext uri="{FF2B5EF4-FFF2-40B4-BE49-F238E27FC236}">
              <a16:creationId xmlns:a16="http://schemas.microsoft.com/office/drawing/2014/main" id="{D55CC75D-40A9-DE19-36C8-23032ACCBD9C}"/>
            </a:ext>
            <a:ext uri="{147F2762-F138-4A5C-976F-8EAC2B608ADB}">
              <a16:predDERef xmlns:a16="http://schemas.microsoft.com/office/drawing/2014/main" pred="{E2A82818-5EB8-D3FE-0FA7-39E08414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13065865" y="916174"/>
          <a:ext cx="274320" cy="172720"/>
        </a:xfrm>
        <a:prstGeom prst="rect">
          <a:avLst/>
        </a:prstGeom>
      </xdr:spPr>
    </xdr:pic>
    <xdr:clientData/>
  </xdr:twoCellAnchor>
  <xdr:twoCellAnchor editAs="oneCell">
    <xdr:from>
      <xdr:col>26</xdr:col>
      <xdr:colOff>49530</xdr:colOff>
      <xdr:row>2</xdr:row>
      <xdr:rowOff>15241</xdr:rowOff>
    </xdr:from>
    <xdr:to>
      <xdr:col>26</xdr:col>
      <xdr:colOff>320040</xdr:colOff>
      <xdr:row>3</xdr:row>
      <xdr:rowOff>4101</xdr:rowOff>
    </xdr:to>
    <xdr:pic>
      <xdr:nvPicPr>
        <xdr:cNvPr id="33" name="Obrázok 32">
          <a:extLst>
            <a:ext uri="{FF2B5EF4-FFF2-40B4-BE49-F238E27FC236}">
              <a16:creationId xmlns:a16="http://schemas.microsoft.com/office/drawing/2014/main" id="{866D4F2F-1A94-5065-0D9E-E2E25C71C30D}"/>
            </a:ext>
            <a:ext uri="{147F2762-F138-4A5C-976F-8EAC2B608ADB}">
              <a16:predDERef xmlns:a16="http://schemas.microsoft.com/office/drawing/2014/main" pred="{D55CC75D-40A9-DE19-36C8-23032ACCB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22705" y="539116"/>
          <a:ext cx="270510" cy="179360"/>
        </a:xfrm>
        <a:prstGeom prst="rect">
          <a:avLst/>
        </a:prstGeom>
      </xdr:spPr>
    </xdr:pic>
    <xdr:clientData/>
  </xdr:twoCellAnchor>
  <xdr:twoCellAnchor editAs="oneCell">
    <xdr:from>
      <xdr:col>37</xdr:col>
      <xdr:colOff>57151</xdr:colOff>
      <xdr:row>4</xdr:row>
      <xdr:rowOff>1</xdr:rowOff>
    </xdr:from>
    <xdr:to>
      <xdr:col>37</xdr:col>
      <xdr:colOff>373381</xdr:colOff>
      <xdr:row>4</xdr:row>
      <xdr:rowOff>209675</xdr:rowOff>
    </xdr:to>
    <xdr:pic>
      <xdr:nvPicPr>
        <xdr:cNvPr id="55" name="Obrázok 54">
          <a:extLst>
            <a:ext uri="{FF2B5EF4-FFF2-40B4-BE49-F238E27FC236}">
              <a16:creationId xmlns:a16="http://schemas.microsoft.com/office/drawing/2014/main" id="{229E59EC-FF77-04B9-9B52-499B8FB3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669251" y="883921"/>
          <a:ext cx="316230" cy="209674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</xdr:colOff>
      <xdr:row>3</xdr:row>
      <xdr:rowOff>167640</xdr:rowOff>
    </xdr:from>
    <xdr:to>
      <xdr:col>12</xdr:col>
      <xdr:colOff>356953</xdr:colOff>
      <xdr:row>4</xdr:row>
      <xdr:rowOff>200025</xdr:rowOff>
    </xdr:to>
    <xdr:pic>
      <xdr:nvPicPr>
        <xdr:cNvPr id="61" name="Obrázok 60">
          <a:extLst>
            <a:ext uri="{FF2B5EF4-FFF2-40B4-BE49-F238E27FC236}">
              <a16:creationId xmlns:a16="http://schemas.microsoft.com/office/drawing/2014/main" id="{0CC8A03F-4916-8796-7E28-289CC7BC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30590" y="880110"/>
          <a:ext cx="307423" cy="203835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0</xdr:row>
      <xdr:rowOff>19050</xdr:rowOff>
    </xdr:from>
    <xdr:to>
      <xdr:col>8</xdr:col>
      <xdr:colOff>447675</xdr:colOff>
      <xdr:row>1</xdr:row>
      <xdr:rowOff>133350</xdr:rowOff>
    </xdr:to>
    <xdr:pic>
      <xdr:nvPicPr>
        <xdr:cNvPr id="68" name="Obrázok 67" descr="Flag of the Olympic Games | Colors, Rings, Meaning &amp; History | Britannica">
          <a:extLst>
            <a:ext uri="{FF2B5EF4-FFF2-40B4-BE49-F238E27FC236}">
              <a16:creationId xmlns:a16="http://schemas.microsoft.com/office/drawing/2014/main" id="{BD55EA9B-8B5A-B95F-46F4-1CB2F026DE36}"/>
            </a:ext>
            <a:ext uri="{147F2762-F138-4A5C-976F-8EAC2B608ADB}">
              <a16:predDERef xmlns:a16="http://schemas.microsoft.com/office/drawing/2014/main" pred="{0CC8A03F-4916-8796-7E28-289CC7BC6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9050"/>
          <a:ext cx="6477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</xdr:colOff>
      <xdr:row>0</xdr:row>
      <xdr:rowOff>17575</xdr:rowOff>
    </xdr:from>
    <xdr:to>
      <xdr:col>1</xdr:col>
      <xdr:colOff>369570</xdr:colOff>
      <xdr:row>1</xdr:row>
      <xdr:rowOff>95249</xdr:rowOff>
    </xdr:to>
    <xdr:pic>
      <xdr:nvPicPr>
        <xdr:cNvPr id="69" name="Obrázok 68" descr="Flag of the Olympic Games | Colors, Rings, Meaning &amp; History | Britannica">
          <a:extLst>
            <a:ext uri="{FF2B5EF4-FFF2-40B4-BE49-F238E27FC236}">
              <a16:creationId xmlns:a16="http://schemas.microsoft.com/office/drawing/2014/main" id="{7A465315-967D-066C-CA09-6BF9C19B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7575"/>
          <a:ext cx="613410" cy="409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ter.niroda@sk.ibm.c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A108"/>
  <sheetViews>
    <sheetView tabSelected="1" zoomScaleNormal="100" workbookViewId="0">
      <pane xSplit="9" ySplit="6" topLeftCell="L7" activePane="bottomRight" state="frozen"/>
      <selection pane="bottomRight" activeCell="AC16" sqref="AC16"/>
      <selection pane="bottomLeft"/>
      <selection pane="topRight"/>
    </sheetView>
  </sheetViews>
  <sheetFormatPr defaultColWidth="8.7109375" defaultRowHeight="14.65" thickBottom="1"/>
  <cols>
    <col min="1" max="1" width="3.7109375" style="17" customWidth="1"/>
    <col min="2" max="2" width="14.85546875" style="20" customWidth="1"/>
    <col min="3" max="3" width="22.42578125" style="17" customWidth="1"/>
    <col min="4" max="4" width="14.7109375" style="17" customWidth="1"/>
    <col min="5" max="5" width="9.140625" style="17" customWidth="1"/>
    <col min="6" max="6" width="9.42578125" style="17" customWidth="1"/>
    <col min="7" max="7" width="11.85546875" style="17" customWidth="1"/>
    <col min="8" max="8" width="8.140625" style="17" customWidth="1"/>
    <col min="9" max="9" width="7.140625" style="17" customWidth="1"/>
    <col min="10" max="10" width="9.85546875" customWidth="1"/>
    <col min="11" max="11" width="9.7109375" customWidth="1"/>
    <col min="12" max="12" width="5.42578125" customWidth="1"/>
    <col min="13" max="13" width="9.7109375" customWidth="1"/>
    <col min="14" max="14" width="5.28515625" customWidth="1"/>
    <col min="15" max="15" width="1.140625" style="11" customWidth="1"/>
    <col min="16" max="16" width="9.42578125" customWidth="1"/>
    <col min="17" max="17" width="7.28515625" customWidth="1"/>
    <col min="18" max="18" width="10" customWidth="1"/>
    <col min="19" max="19" width="5" customWidth="1"/>
    <col min="20" max="20" width="9.140625" customWidth="1"/>
    <col min="21" max="21" width="5.28515625" customWidth="1"/>
    <col min="22" max="22" width="9.7109375" customWidth="1"/>
    <col min="23" max="23" width="5.140625" customWidth="1"/>
    <col min="24" max="24" width="1" style="3" customWidth="1"/>
    <col min="25" max="25" width="9" customWidth="1"/>
    <col min="26" max="26" width="5.140625" customWidth="1"/>
    <col min="27" max="27" width="9" customWidth="1"/>
    <col min="28" max="28" width="5" customWidth="1"/>
    <col min="29" max="29" width="9.140625" customWidth="1"/>
    <col min="30" max="30" width="5.140625" customWidth="1"/>
    <col min="31" max="31" width="9.7109375" customWidth="1"/>
    <col min="32" max="32" width="5.28515625" customWidth="1"/>
    <col min="33" max="33" width="1" style="19" customWidth="1"/>
    <col min="34" max="34" width="9.42578125" customWidth="1"/>
    <col min="35" max="35" width="5.85546875" customWidth="1"/>
    <col min="36" max="36" width="10.140625" customWidth="1"/>
    <col min="37" max="37" width="5.7109375" customWidth="1"/>
    <col min="38" max="38" width="10.5703125" customWidth="1"/>
    <col min="39" max="39" width="5.42578125" customWidth="1"/>
    <col min="40" max="40" width="10" customWidth="1"/>
    <col min="41" max="41" width="5.28515625" customWidth="1"/>
    <col min="42" max="42" width="1" style="19" customWidth="1"/>
    <col min="43" max="43" width="10.28515625" customWidth="1"/>
    <col min="44" max="44" width="5.7109375" customWidth="1"/>
    <col min="45" max="45" width="9.28515625" customWidth="1"/>
    <col min="46" max="46" width="5.85546875" customWidth="1"/>
    <col min="47" max="47" width="10" customWidth="1"/>
    <col min="48" max="48" width="5.7109375" customWidth="1"/>
    <col min="49" max="49" width="10.28515625" customWidth="1"/>
    <col min="50" max="50" width="6.140625" customWidth="1"/>
    <col min="51" max="51" width="2" style="85" customWidth="1"/>
    <col min="52" max="52" width="9.7109375" customWidth="1"/>
    <col min="53" max="53" width="5.7109375" customWidth="1"/>
    <col min="55" max="55" width="7" customWidth="1"/>
    <col min="56" max="56" width="10" customWidth="1"/>
    <col min="57" max="57" width="7.28515625" customWidth="1"/>
    <col min="58" max="58" width="8.7109375" customWidth="1"/>
    <col min="59" max="59" width="5.85546875" customWidth="1"/>
    <col min="60" max="60" width="1.7109375" style="85" customWidth="1"/>
    <col min="61" max="61" width="12.85546875" customWidth="1"/>
    <col min="62" max="62" width="5.28515625" customWidth="1"/>
    <col min="63" max="63" width="12.28515625" customWidth="1"/>
    <col min="64" max="64" width="5.140625" customWidth="1"/>
    <col min="65" max="65" width="15.140625" style="54" customWidth="1"/>
    <col min="66" max="66" width="6.28515625" style="54" customWidth="1"/>
    <col min="67" max="67" width="13" customWidth="1"/>
    <col min="68" max="68" width="5.28515625" customWidth="1"/>
    <col min="69" max="69" width="1" style="85" customWidth="1"/>
    <col min="70" max="70" width="13" customWidth="1"/>
    <col min="71" max="71" width="5.28515625" customWidth="1"/>
    <col min="72" max="72" width="13" customWidth="1"/>
    <col min="73" max="73" width="5.28515625" customWidth="1"/>
    <col min="74" max="74" width="1.140625" style="85" customWidth="1"/>
    <col min="75" max="75" width="13" customWidth="1"/>
    <col min="76" max="76" width="5.28515625" customWidth="1"/>
    <col min="77" max="77" width="1.140625" style="85" customWidth="1"/>
    <col min="78" max="78" width="13" customWidth="1"/>
    <col min="79" max="79" width="5.28515625" customWidth="1"/>
  </cols>
  <sheetData>
    <row r="1" spans="1:79" ht="26.25" customHeight="1" thickBot="1">
      <c r="A1" s="139" t="s">
        <v>0</v>
      </c>
      <c r="B1" s="140"/>
      <c r="C1" s="140"/>
      <c r="D1" s="140"/>
      <c r="E1" s="140"/>
      <c r="F1" s="140"/>
      <c r="G1" s="140"/>
      <c r="H1" s="140"/>
      <c r="I1" s="141"/>
      <c r="J1" s="87" t="s">
        <v>1</v>
      </c>
      <c r="K1" s="134">
        <v>46064</v>
      </c>
      <c r="L1" s="135"/>
      <c r="M1" s="135"/>
      <c r="N1" s="136"/>
      <c r="O1" s="9"/>
      <c r="P1" s="134">
        <v>46065</v>
      </c>
      <c r="Q1" s="135"/>
      <c r="R1" s="135"/>
      <c r="S1" s="135"/>
      <c r="T1" s="135"/>
      <c r="U1" s="135"/>
      <c r="V1" s="135"/>
      <c r="W1" s="135"/>
      <c r="Y1" s="134">
        <v>46066</v>
      </c>
      <c r="Z1" s="135"/>
      <c r="AA1" s="135"/>
      <c r="AB1" s="135"/>
      <c r="AC1" s="135"/>
      <c r="AD1" s="135"/>
      <c r="AE1" s="135"/>
      <c r="AF1" s="135"/>
      <c r="AG1" s="10"/>
      <c r="AH1" s="134">
        <v>46067</v>
      </c>
      <c r="AI1" s="135"/>
      <c r="AJ1" s="135"/>
      <c r="AK1" s="135"/>
      <c r="AL1" s="135"/>
      <c r="AM1" s="135"/>
      <c r="AN1" s="135"/>
      <c r="AO1" s="136"/>
      <c r="AP1" s="10"/>
      <c r="AQ1" s="134">
        <v>46068</v>
      </c>
      <c r="AR1" s="135"/>
      <c r="AS1" s="135"/>
      <c r="AT1" s="135"/>
      <c r="AU1" s="135"/>
      <c r="AV1" s="135"/>
      <c r="AW1" s="135"/>
      <c r="AX1" s="136"/>
      <c r="AZ1" s="131">
        <v>46070</v>
      </c>
      <c r="BA1" s="131"/>
      <c r="BB1" s="131"/>
      <c r="BC1" s="131"/>
      <c r="BD1" s="131"/>
      <c r="BE1" s="131"/>
      <c r="BF1" s="131"/>
      <c r="BG1" s="131"/>
      <c r="BI1" s="162">
        <v>46071</v>
      </c>
      <c r="BJ1" s="162"/>
      <c r="BK1" s="162"/>
      <c r="BL1" s="162"/>
      <c r="BM1" s="162"/>
      <c r="BN1" s="162"/>
      <c r="BO1" s="162"/>
      <c r="BP1" s="162"/>
      <c r="BR1" s="96">
        <v>46073</v>
      </c>
      <c r="BS1" s="96"/>
      <c r="BT1" s="96"/>
      <c r="BU1" s="96"/>
      <c r="BW1" s="97">
        <v>46074</v>
      </c>
      <c r="BX1" s="97"/>
      <c r="BZ1" s="88">
        <v>46074</v>
      </c>
      <c r="CA1" s="88"/>
    </row>
    <row r="2" spans="1:79" ht="15" customHeight="1" thickBot="1">
      <c r="A2" s="142"/>
      <c r="B2" s="143"/>
      <c r="C2" s="143"/>
      <c r="D2" s="143"/>
      <c r="E2" s="143"/>
      <c r="F2" s="143"/>
      <c r="G2" s="143"/>
      <c r="H2" s="143"/>
      <c r="I2" s="144"/>
      <c r="J2" s="86" t="s">
        <v>2</v>
      </c>
      <c r="K2" s="79">
        <v>0.69444444444444442</v>
      </c>
      <c r="L2" s="79"/>
      <c r="M2" s="80">
        <v>0.88194444444444442</v>
      </c>
      <c r="N2" s="81"/>
      <c r="P2" s="82">
        <v>0.50694444444444442</v>
      </c>
      <c r="Q2" s="83"/>
      <c r="R2" s="145">
        <v>0.69444444444444442</v>
      </c>
      <c r="S2" s="146"/>
      <c r="T2" s="137">
        <v>0.88194444444444442</v>
      </c>
      <c r="U2" s="138"/>
      <c r="V2" s="138"/>
      <c r="W2" s="147"/>
      <c r="Y2" s="178">
        <v>0.50694444444444442</v>
      </c>
      <c r="Z2" s="179"/>
      <c r="AA2" s="179"/>
      <c r="AB2" s="179"/>
      <c r="AC2" s="148">
        <v>0.69444444444444442</v>
      </c>
      <c r="AD2" s="149"/>
      <c r="AE2" s="137">
        <v>0.88194444444444442</v>
      </c>
      <c r="AF2" s="138"/>
      <c r="AG2" s="2"/>
      <c r="AH2" s="154">
        <v>0.50694444444444442</v>
      </c>
      <c r="AI2" s="155"/>
      <c r="AJ2" s="155"/>
      <c r="AK2" s="155"/>
      <c r="AL2" s="157">
        <v>0.69444444444444442</v>
      </c>
      <c r="AM2" s="158"/>
      <c r="AN2" s="137">
        <v>0.88194444444444442</v>
      </c>
      <c r="AO2" s="138"/>
      <c r="AP2" s="2"/>
      <c r="AQ2" s="159">
        <v>0.50694444444444442</v>
      </c>
      <c r="AR2" s="160"/>
      <c r="AS2" s="157">
        <v>0.69444444444444442</v>
      </c>
      <c r="AT2" s="158"/>
      <c r="AU2" s="161">
        <v>0.79861111111111116</v>
      </c>
      <c r="AV2" s="161"/>
      <c r="AW2" s="137">
        <v>0.88194444444444442</v>
      </c>
      <c r="AX2" s="138"/>
      <c r="AZ2" s="132">
        <v>0.50694444444444442</v>
      </c>
      <c r="BA2" s="133"/>
      <c r="BB2" s="133"/>
      <c r="BC2" s="133"/>
      <c r="BD2" s="98">
        <v>0.69444444444444442</v>
      </c>
      <c r="BE2" s="98"/>
      <c r="BF2" s="84">
        <v>0.88194444444444442</v>
      </c>
      <c r="BG2" s="84"/>
      <c r="BI2" s="132">
        <v>0.50694444444444442</v>
      </c>
      <c r="BJ2" s="133"/>
      <c r="BK2" s="109">
        <v>0.69444444444444442</v>
      </c>
      <c r="BL2" s="110"/>
      <c r="BM2" s="152">
        <v>0.75694444444444442</v>
      </c>
      <c r="BN2" s="153"/>
      <c r="BO2" s="89">
        <v>0.88194444444444442</v>
      </c>
      <c r="BP2" s="90"/>
      <c r="BR2" s="98">
        <v>0.69444444444444442</v>
      </c>
      <c r="BS2" s="99"/>
      <c r="BT2" s="89">
        <v>0.88194444444444442</v>
      </c>
      <c r="BU2" s="90"/>
      <c r="BW2" s="89"/>
      <c r="BX2" s="90"/>
      <c r="BZ2" s="89"/>
      <c r="CA2" s="90"/>
    </row>
    <row r="3" spans="1:79" ht="15" customHeight="1">
      <c r="A3" s="100" t="s">
        <v>3</v>
      </c>
      <c r="B3" s="101"/>
      <c r="C3" s="101"/>
      <c r="D3" s="101"/>
      <c r="E3" s="101"/>
      <c r="F3" s="101"/>
      <c r="G3" s="101"/>
      <c r="H3" s="101"/>
      <c r="I3" s="102"/>
      <c r="J3" s="151" t="s">
        <v>4</v>
      </c>
      <c r="K3" s="12" t="s">
        <v>5</v>
      </c>
      <c r="L3" s="118" t="s">
        <v>6</v>
      </c>
      <c r="M3" s="1" t="s">
        <v>7</v>
      </c>
      <c r="N3" s="169" t="s">
        <v>8</v>
      </c>
      <c r="P3" s="4" t="s">
        <v>9</v>
      </c>
      <c r="Q3" s="166" t="s">
        <v>8</v>
      </c>
      <c r="R3" s="1" t="s">
        <v>10</v>
      </c>
      <c r="S3" s="128" t="s">
        <v>8</v>
      </c>
      <c r="T3" s="1" t="s">
        <v>11</v>
      </c>
      <c r="U3" s="124" t="s">
        <v>8</v>
      </c>
      <c r="V3" s="1" t="s">
        <v>12</v>
      </c>
      <c r="W3" s="115" t="s">
        <v>8</v>
      </c>
      <c r="Y3" s="1" t="s">
        <v>13</v>
      </c>
      <c r="Z3" s="124" t="s">
        <v>8</v>
      </c>
      <c r="AA3" s="1" t="s">
        <v>14</v>
      </c>
      <c r="AB3" s="124" t="s">
        <v>8</v>
      </c>
      <c r="AC3" s="1" t="s">
        <v>15</v>
      </c>
      <c r="AD3" s="91" t="s">
        <v>8</v>
      </c>
      <c r="AE3" s="1" t="s">
        <v>16</v>
      </c>
      <c r="AF3" s="115" t="s">
        <v>8</v>
      </c>
      <c r="AG3" s="2"/>
      <c r="AH3" s="1" t="s">
        <v>7</v>
      </c>
      <c r="AI3" s="115" t="s">
        <v>8</v>
      </c>
      <c r="AJ3" s="1" t="s">
        <v>12</v>
      </c>
      <c r="AK3" s="115" t="s">
        <v>8</v>
      </c>
      <c r="AL3" s="1" t="s">
        <v>13</v>
      </c>
      <c r="AM3" s="115" t="s">
        <v>8</v>
      </c>
      <c r="AN3" s="1" t="s">
        <v>17</v>
      </c>
      <c r="AO3" s="115" t="s">
        <v>8</v>
      </c>
      <c r="AP3" s="2"/>
      <c r="AQ3" s="1" t="s">
        <v>9</v>
      </c>
      <c r="AR3" s="115" t="s">
        <v>8</v>
      </c>
      <c r="AS3" s="1" t="s">
        <v>16</v>
      </c>
      <c r="AT3" s="115" t="s">
        <v>8</v>
      </c>
      <c r="AU3" s="1" t="s">
        <v>18</v>
      </c>
      <c r="AV3" s="121" t="s">
        <v>8</v>
      </c>
      <c r="AW3" s="4" t="s">
        <v>17</v>
      </c>
      <c r="AX3" s="163" t="s">
        <v>8</v>
      </c>
      <c r="AZ3" s="13" t="s">
        <v>19</v>
      </c>
      <c r="BA3" s="172" t="s">
        <v>8</v>
      </c>
      <c r="BB3" s="13" t="s">
        <v>19</v>
      </c>
      <c r="BC3" s="172" t="s">
        <v>8</v>
      </c>
      <c r="BD3" s="13" t="s">
        <v>19</v>
      </c>
      <c r="BE3" s="166" t="s">
        <v>8</v>
      </c>
      <c r="BF3" s="4" t="s">
        <v>19</v>
      </c>
      <c r="BG3" s="91" t="s">
        <v>8</v>
      </c>
      <c r="BI3" s="1" t="s">
        <v>19</v>
      </c>
      <c r="BJ3" s="124" t="s">
        <v>8</v>
      </c>
      <c r="BK3" s="1" t="s">
        <v>19</v>
      </c>
      <c r="BL3" s="175" t="s">
        <v>8</v>
      </c>
      <c r="BM3" s="51" t="s">
        <v>19</v>
      </c>
      <c r="BN3" s="91" t="s">
        <v>8</v>
      </c>
      <c r="BO3" s="13" t="s">
        <v>19</v>
      </c>
      <c r="BP3" s="91" t="s">
        <v>8</v>
      </c>
      <c r="BR3" s="13" t="s">
        <v>19</v>
      </c>
      <c r="BS3" s="91" t="s">
        <v>8</v>
      </c>
      <c r="BT3" s="13" t="s">
        <v>19</v>
      </c>
      <c r="BU3" s="91" t="s">
        <v>8</v>
      </c>
      <c r="BW3" s="13" t="s">
        <v>19</v>
      </c>
      <c r="BX3" s="91" t="s">
        <v>8</v>
      </c>
      <c r="BZ3" s="13" t="s">
        <v>19</v>
      </c>
      <c r="CA3" s="91" t="s">
        <v>8</v>
      </c>
    </row>
    <row r="4" spans="1:79" ht="13.5" customHeight="1">
      <c r="A4" s="103"/>
      <c r="B4" s="104"/>
      <c r="C4" s="104"/>
      <c r="D4" s="104"/>
      <c r="E4" s="104"/>
      <c r="F4" s="104"/>
      <c r="G4" s="104"/>
      <c r="H4" s="104"/>
      <c r="I4" s="105"/>
      <c r="J4" s="151"/>
      <c r="K4" s="6" t="s">
        <v>20</v>
      </c>
      <c r="L4" s="119"/>
      <c r="M4" s="5" t="s">
        <v>20</v>
      </c>
      <c r="N4" s="170"/>
      <c r="P4" s="6" t="s">
        <v>20</v>
      </c>
      <c r="Q4" s="167"/>
      <c r="R4" s="5" t="s">
        <v>20</v>
      </c>
      <c r="S4" s="129"/>
      <c r="T4" s="5" t="s">
        <v>20</v>
      </c>
      <c r="U4" s="125"/>
      <c r="V4" s="5" t="s">
        <v>20</v>
      </c>
      <c r="W4" s="116"/>
      <c r="Y4" s="5" t="s">
        <v>20</v>
      </c>
      <c r="Z4" s="125"/>
      <c r="AA4" s="5" t="s">
        <v>20</v>
      </c>
      <c r="AB4" s="125"/>
      <c r="AC4" s="5" t="s">
        <v>20</v>
      </c>
      <c r="AD4" s="92"/>
      <c r="AE4" s="5" t="s">
        <v>20</v>
      </c>
      <c r="AF4" s="116"/>
      <c r="AG4" s="2"/>
      <c r="AH4" s="5" t="s">
        <v>20</v>
      </c>
      <c r="AI4" s="116"/>
      <c r="AJ4" s="5" t="s">
        <v>20</v>
      </c>
      <c r="AK4" s="116"/>
      <c r="AL4" s="5" t="s">
        <v>20</v>
      </c>
      <c r="AM4" s="116"/>
      <c r="AN4" s="5" t="s">
        <v>20</v>
      </c>
      <c r="AO4" s="116"/>
      <c r="AP4" s="2"/>
      <c r="AQ4" s="5" t="s">
        <v>20</v>
      </c>
      <c r="AR4" s="116"/>
      <c r="AS4" s="5" t="s">
        <v>20</v>
      </c>
      <c r="AT4" s="116"/>
      <c r="AU4" s="5" t="s">
        <v>20</v>
      </c>
      <c r="AV4" s="122"/>
      <c r="AW4" s="6" t="s">
        <v>20</v>
      </c>
      <c r="AX4" s="164"/>
      <c r="AZ4" s="14" t="s">
        <v>20</v>
      </c>
      <c r="BA4" s="119"/>
      <c r="BB4" s="14" t="s">
        <v>20</v>
      </c>
      <c r="BC4" s="119"/>
      <c r="BD4" s="14" t="s">
        <v>20</v>
      </c>
      <c r="BE4" s="167"/>
      <c r="BF4" s="6" t="s">
        <v>20</v>
      </c>
      <c r="BG4" s="92"/>
      <c r="BI4" s="5" t="s">
        <v>20</v>
      </c>
      <c r="BJ4" s="125"/>
      <c r="BK4" s="5" t="s">
        <v>20</v>
      </c>
      <c r="BL4" s="176"/>
      <c r="BM4" s="52" t="s">
        <v>20</v>
      </c>
      <c r="BN4" s="92"/>
      <c r="BO4" s="6" t="s">
        <v>20</v>
      </c>
      <c r="BP4" s="92"/>
      <c r="BR4" s="6" t="s">
        <v>20</v>
      </c>
      <c r="BS4" s="92"/>
      <c r="BT4" s="6" t="s">
        <v>20</v>
      </c>
      <c r="BU4" s="92"/>
      <c r="BW4" s="6" t="s">
        <v>20</v>
      </c>
      <c r="BX4" s="92"/>
      <c r="BZ4" s="6" t="s">
        <v>20</v>
      </c>
      <c r="CA4" s="92"/>
    </row>
    <row r="5" spans="1:79" ht="17.25" customHeight="1" thickBot="1">
      <c r="A5" s="106"/>
      <c r="B5" s="107"/>
      <c r="C5" s="107"/>
      <c r="D5" s="107"/>
      <c r="E5" s="107"/>
      <c r="F5" s="107"/>
      <c r="G5" s="107"/>
      <c r="H5" s="107"/>
      <c r="I5" s="108"/>
      <c r="J5" s="151"/>
      <c r="K5" s="78" t="s">
        <v>13</v>
      </c>
      <c r="L5" s="120"/>
      <c r="M5" s="76" t="s">
        <v>14</v>
      </c>
      <c r="N5" s="171"/>
      <c r="P5" s="8" t="s">
        <v>15</v>
      </c>
      <c r="Q5" s="168"/>
      <c r="R5" s="7" t="s">
        <v>16</v>
      </c>
      <c r="S5" s="130"/>
      <c r="T5" s="7" t="s">
        <v>17</v>
      </c>
      <c r="U5" s="126"/>
      <c r="V5" s="7" t="s">
        <v>18</v>
      </c>
      <c r="W5" s="156"/>
      <c r="Y5" s="7" t="s">
        <v>7</v>
      </c>
      <c r="Z5" s="126"/>
      <c r="AA5" s="7" t="s">
        <v>5</v>
      </c>
      <c r="AB5" s="127"/>
      <c r="AC5" s="7" t="s">
        <v>10</v>
      </c>
      <c r="AD5" s="93"/>
      <c r="AE5" s="7" t="s">
        <v>9</v>
      </c>
      <c r="AF5" s="117"/>
      <c r="AG5" s="2"/>
      <c r="AH5" s="7" t="s">
        <v>5</v>
      </c>
      <c r="AI5" s="117"/>
      <c r="AJ5" s="7" t="s">
        <v>11</v>
      </c>
      <c r="AK5" s="117"/>
      <c r="AL5" s="7" t="s">
        <v>14</v>
      </c>
      <c r="AM5" s="117"/>
      <c r="AN5" s="7" t="s">
        <v>18</v>
      </c>
      <c r="AO5" s="117"/>
      <c r="AP5" s="2"/>
      <c r="AQ5" s="7" t="s">
        <v>10</v>
      </c>
      <c r="AR5" s="117"/>
      <c r="AS5" s="7" t="s">
        <v>15</v>
      </c>
      <c r="AT5" s="117"/>
      <c r="AU5" s="7" t="s">
        <v>11</v>
      </c>
      <c r="AV5" s="123"/>
      <c r="AW5" s="74" t="s">
        <v>12</v>
      </c>
      <c r="AX5" s="165"/>
      <c r="AZ5" s="15" t="s">
        <v>19</v>
      </c>
      <c r="BA5" s="173"/>
      <c r="BB5" s="15" t="s">
        <v>19</v>
      </c>
      <c r="BC5" s="173"/>
      <c r="BD5" s="15" t="s">
        <v>19</v>
      </c>
      <c r="BE5" s="174"/>
      <c r="BF5" s="8" t="s">
        <v>19</v>
      </c>
      <c r="BG5" s="93"/>
      <c r="BI5" s="15" t="s">
        <v>19</v>
      </c>
      <c r="BJ5" s="127"/>
      <c r="BK5" s="7" t="s">
        <v>19</v>
      </c>
      <c r="BL5" s="177"/>
      <c r="BM5" s="53" t="s">
        <v>19</v>
      </c>
      <c r="BN5" s="93"/>
      <c r="BO5" s="15" t="s">
        <v>19</v>
      </c>
      <c r="BP5" s="93"/>
      <c r="BR5" s="15" t="s">
        <v>19</v>
      </c>
      <c r="BS5" s="93"/>
      <c r="BT5" s="15" t="s">
        <v>19</v>
      </c>
      <c r="BU5" s="93"/>
      <c r="BW5" s="15" t="s">
        <v>19</v>
      </c>
      <c r="BX5" s="93"/>
      <c r="BZ5" s="15" t="s">
        <v>19</v>
      </c>
      <c r="CA5" s="93"/>
    </row>
    <row r="6" spans="1:79" s="16" customFormat="1" ht="36" customHeight="1" thickBot="1">
      <c r="A6" s="37" t="s">
        <v>21</v>
      </c>
      <c r="B6" s="27" t="s">
        <v>22</v>
      </c>
      <c r="C6" s="27" t="s">
        <v>23</v>
      </c>
      <c r="D6" s="27" t="s">
        <v>24</v>
      </c>
      <c r="E6" s="28" t="s">
        <v>25</v>
      </c>
      <c r="F6" s="28" t="s">
        <v>26</v>
      </c>
      <c r="G6" s="28" t="s">
        <v>27</v>
      </c>
      <c r="H6" s="28" t="s">
        <v>28</v>
      </c>
      <c r="I6" s="29" t="s">
        <v>29</v>
      </c>
      <c r="J6" s="77" t="s">
        <v>30</v>
      </c>
      <c r="K6" s="94"/>
      <c r="L6" s="181"/>
      <c r="M6" s="188"/>
      <c r="N6" s="189"/>
      <c r="O6" s="75"/>
      <c r="P6" s="186"/>
      <c r="Q6" s="187"/>
      <c r="R6" s="111"/>
      <c r="S6" s="112"/>
      <c r="T6" s="111"/>
      <c r="U6" s="112"/>
      <c r="V6" s="111"/>
      <c r="W6" s="112"/>
      <c r="X6" s="3"/>
      <c r="Y6" s="111"/>
      <c r="Z6" s="112"/>
      <c r="AA6" s="111"/>
      <c r="AB6" s="112"/>
      <c r="AC6" s="111"/>
      <c r="AD6" s="112"/>
      <c r="AE6" s="111"/>
      <c r="AF6" s="112"/>
      <c r="AG6" s="2"/>
      <c r="AH6" s="111"/>
      <c r="AI6" s="112"/>
      <c r="AJ6" s="111"/>
      <c r="AK6" s="112"/>
      <c r="AL6" s="185"/>
      <c r="AM6" s="112"/>
      <c r="AN6" s="111"/>
      <c r="AO6" s="112"/>
      <c r="AP6" s="2"/>
      <c r="AQ6" s="111"/>
      <c r="AR6" s="112"/>
      <c r="AS6" s="111"/>
      <c r="AT6" s="112"/>
      <c r="AU6" s="111"/>
      <c r="AV6" s="112"/>
      <c r="AW6" s="113"/>
      <c r="AX6" s="114"/>
      <c r="AY6" s="85"/>
      <c r="AZ6" s="182"/>
      <c r="BA6" s="183"/>
      <c r="BB6" s="94"/>
      <c r="BC6" s="95"/>
      <c r="BD6" s="184"/>
      <c r="BE6" s="183"/>
      <c r="BF6" s="94"/>
      <c r="BG6" s="95"/>
      <c r="BH6" s="85"/>
      <c r="BI6" s="94"/>
      <c r="BJ6" s="95"/>
      <c r="BK6" s="180"/>
      <c r="BL6" s="181"/>
      <c r="BM6" s="94"/>
      <c r="BN6" s="95"/>
      <c r="BO6" s="94"/>
      <c r="BP6" s="95"/>
      <c r="BQ6" s="85"/>
      <c r="BR6" s="94"/>
      <c r="BS6" s="95"/>
      <c r="BT6" s="94"/>
      <c r="BU6" s="95"/>
      <c r="BV6" s="85"/>
      <c r="BW6" s="94"/>
      <c r="BX6" s="95"/>
      <c r="BY6" s="85"/>
      <c r="BZ6" s="94"/>
      <c r="CA6" s="95"/>
    </row>
    <row r="7" spans="1:79" ht="15.75" customHeight="1" thickBot="1">
      <c r="A7" s="24">
        <v>1</v>
      </c>
      <c r="B7" s="22" t="s">
        <v>31</v>
      </c>
      <c r="C7" s="38" t="s">
        <v>32</v>
      </c>
      <c r="D7" s="23" t="s">
        <v>33</v>
      </c>
      <c r="E7" s="70">
        <f>IF(K7&lt;&gt;"",1,0)+IF(M7&lt;&gt;"",1,0)+IF(P7&lt;&gt;"",1,0)+IF(R7&lt;&gt;"",1,0)+IF(T7&lt;&gt;"",1,0)+IF(V7&lt;&gt;"",1,0)+IF(Y7&lt;&gt;"",1,0)+IF(AA7&lt;&gt;"",1,0)+IF(AC7&lt;&gt;"",1,0)+IF(AE7&lt;&gt;"",1,0)+IF(AH7&lt;&gt;"",1,0)+IF(AJ7&lt;&gt;"",1,0)+IF(AL7&lt;&gt;"",1,0)+IF(AN7&lt;&gt;"",1,0)+IF(AQ7&lt;&gt;"",1,0)+IF(AS7&lt;&gt;"",1,0)+IF(AU7&lt;&gt;"",1,0)+IF(AW7&lt;&gt;"",1,0)+IF(AZ7&lt;&gt;"",1,0)+IF(BB7&lt;&gt;"",1,0)+IF(BD7&lt;&gt;"",1,0)+IF(BF7&lt;&gt;"",1,0)+IF(BI7&lt;&gt;"",1,0)+IF(BK7&lt;&gt;"",1,0)+IF(BM7&lt;&gt;"",1,0)+IF(BO7&lt;&gt;"",1,0)
+IF(BR7&lt;&gt;"",1,0)
+IF(BT7&lt;&gt;"",1,0)
+IF(BW7&lt;&gt;"",1,0)
+IF(BZ7&lt;&gt;"",1,0)</f>
        <v>18</v>
      </c>
      <c r="F7" s="70">
        <f>IF(L7=4,1,0)+IF(N7=4,1,0)+IF(Q7=4,1,0)+IF(S7=4,1,0)+IF(U7=4,1,0)+IF(W7=4,1,0)+IF(Z7=4,1,0)+IF(AB7=4,1,0)+IF(AD7=4,1,0)+IF(AF7=4,1,0)+IF(AI7=4,1,0)+IF(AK7=4,1,0)+IF(AM7=4,1,0)+IF(AO7=4,1,0)+IF(AR7=4,1,0)+IF(AT7=4,1,0)+IF(AV7=4,1,0)+IF(AX7=4,1,0)+IF(BA7=5,1,0)+IF(BC7=5,1,0)+IF(BE7=5,1,0)+IF(BG7=5,1,0)+IF(BJ7=5,1,0)+IF(BL7=5,1,0)+IF(BN7=5,1,0)+IF(BP7=5,1,0)
+IF(BS7=5,1,0)
+IF(BU7=5,1,0)
+IF(BX7=5,1,0)
+IF(CA7=5,1,0)</f>
        <v>0</v>
      </c>
      <c r="G7" s="71">
        <f>L7+N7+Q7+S7+U7+W7+Z7+AB7+AD7+AF7+AI7+AK7+AM7+AO7+AR7+AT7+AV7+AX7</f>
        <v>0</v>
      </c>
      <c r="H7" s="71">
        <f>BA7+BC7+BE7+BG7+BJ7+BL7+BN7+BP7
+BS7
+BU7
+BX7
+CA7</f>
        <v>0</v>
      </c>
      <c r="I7" s="72">
        <f t="shared" ref="I7:I70" si="0">G7+H7</f>
        <v>0</v>
      </c>
      <c r="J7" s="150"/>
      <c r="K7" s="48" t="s">
        <v>34</v>
      </c>
      <c r="L7" s="73">
        <f t="shared" ref="L7:L51" si="1">_xlfn.LET(
    _xlpm.FinalScore, TRIM(SUBSTITUTE($K$6," ","")),
    _xlpm.UserGuess, TRIM(SUBSTITUTE(K7,"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OR($K$6="", K7=""),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M7" s="48" t="s">
        <v>35</v>
      </c>
      <c r="N7" s="73">
        <f t="shared" ref="N7:N51" si="2">_xlfn.LET(
    _xlpm.FinalScore, TRIM(SUBSTITUTE($M$6," ","")),
    _xlpm.UserGuess, TRIM(SUBSTITUTE(M7,"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OR($M$6="", M7=""),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P7" s="48" t="s">
        <v>36</v>
      </c>
      <c r="Q7" s="73">
        <f t="shared" ref="Q7:Q51" si="3">_xlfn.LET(
    _xlpm.FinalScore, TRIM(SUBSTITUTE($P$6," ","")),
    _xlpm.UserGuess, TRIM(SUBSTITUTE(P7,"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OR($P$6="", P7=""),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R7" s="48" t="s">
        <v>37</v>
      </c>
      <c r="S7" s="73">
        <f t="shared" ref="S7:S51" si="4">_xlfn.LET(
    _xlpm.FinalScore, TRIM(SUBSTITUTE($R$6," ","")),
    _xlpm.UserGuess, TRIM(SUBSTITUTE(R7,"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OR($R$6="", R7=""),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T7" s="48" t="s">
        <v>34</v>
      </c>
      <c r="U7" s="73">
        <f t="shared" ref="U7:U51" si="5">_xlfn.LET(
    _xlpm.FinalScore, TRIM(SUBSTITUTE($T$6," ","")),
    _xlpm.UserGuess, TRIM(SUBSTITUTE(T7,"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OR($T$6="", T7=""),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V7" s="48" t="s">
        <v>38</v>
      </c>
      <c r="W7" s="73">
        <f t="shared" ref="W7:W51" si="6">_xlfn.LET(
    _xlpm.FinalScore, TRIM(SUBSTITUTE($V$6," ","")),
    _xlpm.UserGuess, TRIM(SUBSTITUTE(V7,"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OR($V$6="", V7=""),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Y7" s="48" t="s">
        <v>39</v>
      </c>
      <c r="Z7" s="73">
        <f t="shared" ref="Z7:Z51" si="7">_xlfn.LET(
    _xlpm.FinalScore, TRIM(SUBSTITUTE($Y$6," ","")),
    _xlpm.UserGuess, TRIM(SUBSTITUTE(Y7,"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OR($Y$6="", Y7=""),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A7" s="48" t="s">
        <v>40</v>
      </c>
      <c r="AB7" s="73">
        <f t="shared" ref="AB7:AB51" si="8">_xlfn.LET(
    _xlpm.FinalScore, TRIM(SUBSTITUTE($AA$6," ","")),
    _xlpm.UserGuess, TRIM(SUBSTITUTE(AA7,"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OR($AA$6="", AA7=""),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C7" s="48" t="s">
        <v>37</v>
      </c>
      <c r="AD7" s="73">
        <f t="shared" ref="AD7:AD51" si="9">_xlfn.LET(
    _xlpm.FinalScore, TRIM(SUBSTITUTE($AC$6," ","")),
    _xlpm.UserGuess, TRIM(SUBSTITUTE(AC7,"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OR($AC$6="", AC7=""),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E7" s="48" t="s">
        <v>38</v>
      </c>
      <c r="AF7" s="73">
        <f t="shared" ref="AF7:AF51" si="10">_xlfn.LET(
    _xlpm.FinalScore, TRIM(SUBSTITUTE($AE$6," ","")),
    _xlpm.UserGuess, TRIM(SUBSTITUTE(AE7,"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OR($AE$6="", AE7=""),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G7" s="2"/>
      <c r="AH7" s="48" t="s">
        <v>41</v>
      </c>
      <c r="AI7" s="73">
        <f t="shared" ref="AI7:AI51" si="11">_xlfn.LET(
    _xlpm.FinalScore, TRIM(SUBSTITUTE($AH$6," ","")),
    _xlpm.UserGuess, TRIM(SUBSTITUTE(AH7,"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OR($AH$6="", AH7=""),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J7" s="48" t="s">
        <v>42</v>
      </c>
      <c r="AK7" s="73">
        <f t="shared" ref="AK7:AK51" si="12">_xlfn.LET(
_xlpm.FinalScore,TRIM(SUBSTITUTE($AJ$6," ","")),
_xlpm.UserGuess,TRIM(SUBSTITUTE(AJ7," ","")),
_xlpm.FinalHome,VALUE(LEFT(_xlpm.FinalScore,FIND(":",_xlpm.FinalScore)-1)),
_xlpm.FinalAway,VALUE(MID(_xlpm.FinalScore,FIND(":",_xlpm.FinalScore)+1,LEN(_xlpm.FinalScore))),
_xlpm.GuessHome,VALUE(LEFT(_xlpm.UserGuess,FIND(":",_xlpm.UserGuess)-1)),
_xlpm.GuessAway,VALUE(MID(_xlpm.UserGuess,FIND(":",_xlpm.UserGuess)+1,LEN(_xlpm.UserGuess))),
_xlpm.FinalDiff,_xlpm.FinalHome-_xlpm.FinalAway,
_xlpm.GuessDiff,_xlpm.GuessHome-_xlpm.GuessAway,
IF(
OR($AJ$6="",AJ7=""),
0+N("If final or guess is missing, 0 points"),
IF(
AND(_xlpm.FinalHome=_xlpm.GuessHome,_xlpm.FinalAway=_xlpm.GuessAway),
4+N("Exact score guessed, 4 points"),
IF(
AND(
SIGN(_xlpm.FinalDiff)=SIGN(_xlpm.GuessDiff),
OR(_xlpm.FinalHome=_xlpm.GuessHome,_xlpm.FinalAway=_xlpm.GuessAway)
),
2+N("Winner and one side score guessed, 2 points"),
IF(
SIGN(_xlpm.FinalDiff)=SIGN(_xlpm.GuessDiff),
1+N("Only winner guessed, 1 point"),
0+N("Wrong guess, 0 points")
)
)
)
)
)</f>
        <v>0</v>
      </c>
      <c r="AL7" s="48" t="s">
        <v>43</v>
      </c>
      <c r="AM7" s="73">
        <f t="shared" ref="AM7:AM51" si="13">_xlfn.LET(
    _xlpm.FinalScore, TRIM(SUBSTITUTE($AL$6," ","")),
    _xlpm.UserGuess, TRIM(SUBSTITUTE(AL7,"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OR($AL$6="", AL7=""),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N7" s="48" t="s">
        <v>42</v>
      </c>
      <c r="AO7" s="73">
        <f t="shared" ref="AO7:AO51" si="14">_xlfn.LET(
    _xlpm.FinalScore, TRIM(SUBSTITUTE($AN$6," ","")),
    _xlpm.UserGuess, TRIM(SUBSTITUTE(AN7,"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OR($AN$6="", AN7=""),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P7" s="2"/>
      <c r="AQ7" s="48" t="s">
        <v>44</v>
      </c>
      <c r="AR7" s="73">
        <f t="shared" ref="AR7:AR51" si="15">_xlfn.LET(
    _xlpm.FinalScore, TRIM(SUBSTITUTE($AQ$6," ","")),
    _xlpm.UserGuess, TRIM(SUBSTITUTE(AQ7,"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OR($AQ$6="", AQ7=""),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S7" s="48" t="s">
        <v>43</v>
      </c>
      <c r="AT7" s="73">
        <f t="shared" ref="AT7:AT51" si="16">_xlfn.LET(
    _xlpm.FinalScore, TRIM(SUBSTITUTE($AS$6," ","")),
    _xlpm.UserGuess, TRIM(SUBSTITUTE(AS7,"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OR($AS$6="", AS7=""),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U7" s="48" t="s">
        <v>45</v>
      </c>
      <c r="AV7" s="73">
        <f t="shared" ref="AV7:AV51" si="17">_xlfn.LET(
    _xlpm.FinalScore, TRIM(SUBSTITUTE($AU$6," ","")),
    _xlpm.UserGuess, TRIM(SUBSTITUTE(AU7,"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OR($AU$6="", AU7=""),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W7" s="48" t="s">
        <v>46</v>
      </c>
      <c r="AX7" s="73">
        <f t="shared" ref="AX7:AX51" si="18">_xlfn.LET(
    _xlpm.FinalScore, TRIM(SUBSTITUTE($AW$6," ","")),
    _xlpm.UserGuess, TRIM(SUBSTITUTE(AW7,"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AW7=""),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Z7" s="48"/>
      <c r="BA7" s="73">
        <f>_xlfn.LET(
    _xlpm.FinalScore, TRIM(SUBSTITUTE($AW$6," ","")),
    _xlpm.UserGuess, TRIM(SUBSTITUTE(AZ7,"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AZ7=""),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B7" s="48"/>
      <c r="BC7" s="73">
        <f>_xlfn.LET(
    _xlpm.FinalScore, TRIM(SUBSTITUTE($AW$6," ","")),
    _xlpm.UserGuess, TRIM(SUBSTITUTE(BB7,"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BB7=""),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D7" s="48"/>
      <c r="BE7" s="73">
        <f>_xlfn.LET(
    _xlpm.FinalScore, TRIM(SUBSTITUTE($AW$6," ","")),
    _xlpm.UserGuess, TRIM(SUBSTITUTE(BD7,"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BD7=""),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F7" s="48"/>
      <c r="BG7" s="73">
        <f>_xlfn.LET(
    _xlpm.FinalScore, TRIM(SUBSTITUTE($AW$6," ","")),
    _xlpm.UserGuess, TRIM(SUBSTITUTE(BF7,"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BF7=""),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I7" s="48"/>
      <c r="BJ7" s="73">
        <f t="shared" ref="BJ7:BJ70" si="19">_xlfn.LET(
    _xlpm.FinalScore, TRIM(SUBSTITUTE($AW$6," ","")),
    _xlpm.UserGuess, TRIM(SUBSTITUTE(BI7,"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BI7=""),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K7" s="48"/>
      <c r="BL7" s="73">
        <f>_xlfn.LET(
    _xlpm.FinalScore, TRIM(SUBSTITUTE($AW$6," ","")),
    _xlpm.UserGuess, TRIM(SUBSTITUTE(BK7,"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BK7=""),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M7" s="48"/>
      <c r="BN7" s="73">
        <f>_xlfn.LET(
    _xlpm.FinalScore, TRIM(SUBSTITUTE($AW$6," ","")),
    _xlpm.UserGuess, TRIM(SUBSTITUTE(BM7,"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BM7=""),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O7" s="48"/>
      <c r="BP7" s="73">
        <f>_xlfn.LET(
    _xlpm.FinalScore, TRIM(SUBSTITUTE($AW$6," ","")),
    _xlpm.UserGuess, TRIM(SUBSTITUTE(BO7,"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BO7=""),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R7" s="48"/>
      <c r="BS7" s="73">
        <f>_xlfn.LET(
    _xlpm.FinalScore, TRIM(SUBSTITUTE($AW$6," ","")),
    _xlpm.UserGuess, TRIM(SUBSTITUTE(BR7,"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BR7=""),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T7" s="48"/>
      <c r="BU7" s="73">
        <f>_xlfn.LET(
    _xlpm.FinalScore, TRIM(SUBSTITUTE($AW$6," ","")),
    _xlpm.UserGuess, TRIM(SUBSTITUTE(BT7,"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BT7=""),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W7" s="48"/>
      <c r="BX7" s="73">
        <f>_xlfn.LET(
    _xlpm.FinalScore, TRIM(SUBSTITUTE($AW$6," ","")),
    _xlpm.UserGuess, TRIM(SUBSTITUTE(BW7,"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BW7=""),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Z7" s="48"/>
      <c r="CA7" s="73">
        <f>_xlfn.LET(
    _xlpm.FinalScore, TRIM(SUBSTITUTE($AW$6," ","")),
    _xlpm.UserGuess, TRIM(SUBSTITUTE(BZ7,"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BZ7=""),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</row>
    <row r="8" spans="1:79" ht="15.75" customHeight="1" thickBot="1">
      <c r="A8" s="21">
        <v>2</v>
      </c>
      <c r="B8" s="22" t="s">
        <v>47</v>
      </c>
      <c r="C8" s="38" t="s">
        <v>48</v>
      </c>
      <c r="D8" s="23" t="s">
        <v>33</v>
      </c>
      <c r="E8" s="70">
        <f t="shared" ref="E8:E71" si="20">IF(K8&lt;&gt;"",1,0)+IF(M8&lt;&gt;"",1,0)+IF(P8&lt;&gt;"",1,0)+IF(R8&lt;&gt;"",1,0)+IF(T8&lt;&gt;"",1,0)+IF(V8&lt;&gt;"",1,0)+IF(Y8&lt;&gt;"",1,0)+IF(AA8&lt;&gt;"",1,0)+IF(AC8&lt;&gt;"",1,0)+IF(AE8&lt;&gt;"",1,0)+IF(AH8&lt;&gt;"",1,0)+IF(AJ8&lt;&gt;"",1,0)+IF(AL8&lt;&gt;"",1,0)+IF(AN8&lt;&gt;"",1,0)+IF(AQ8&lt;&gt;"",1,0)+IF(AS8&lt;&gt;"",1,0)+IF(AU8&lt;&gt;"",1,0)+IF(AW8&lt;&gt;"",1,0)+IF(AZ8&lt;&gt;"",1,0)+IF(BB8&lt;&gt;"",1,0)+IF(BD8&lt;&gt;"",1,0)+IF(BF8&lt;&gt;"",1,0)+IF(BI8&lt;&gt;"",1,0)+IF(BK8&lt;&gt;"",1,0)+IF(BM8&lt;&gt;"",1,0)+IF(BO8&lt;&gt;"",1,0)
+IF(BR8&lt;&gt;"",1,0)
+IF(BT8&lt;&gt;"",1,0)
+IF(BW8&lt;&gt;"",1,0)
+IF(BZ8&lt;&gt;"",1,0)</f>
        <v>0</v>
      </c>
      <c r="F8" s="70">
        <f t="shared" ref="F8:F71" si="21">IF(L8=4,1,0)+IF(N8=4,1,0)+IF(Q8=4,1,0)+IF(S8=4,1,0)+IF(U8=4,1,0)+IF(W8=4,1,0)+IF(Z8=4,1,0)+IF(AB8=4,1,0)+IF(AD8=4,1,0)+IF(AF8=4,1,0)+IF(AI8=4,1,0)+IF(AK8=4,1,0)+IF(AM8=4,1,0)+IF(AO8=4,1,0)+IF(AR8=4,1,0)+IF(AT8=4,1,0)+IF(AV8=4,1,0)+IF(AX8=4,1,0)+IF(BA8=5,1,0)+IF(BC8=5,1,0)+IF(BE8=5,1,0)+IF(BG8=5,1,0)+IF(BJ8=5,1,0)+IF(BL8=5,1,0)+IF(BN8=5,1,0)+IF(BP8=5,1,0)
+IF(BS8=5,1,0)
+IF(BU8=5,1,0)
+IF(BX8=5,1,0)
+IF(CA8=5,1,0)</f>
        <v>0</v>
      </c>
      <c r="G8" s="71">
        <f t="shared" ref="G8:G71" si="22">L8+N8+Q8+S8+U8+W8+Z8+AB8+AD8+AF8+AI8+AK8+AM8+AO8+AR8+AT8+AV8+AX8</f>
        <v>0</v>
      </c>
      <c r="H8" s="71">
        <f t="shared" ref="H8:H71" si="23">BA8+BC8+BE8+BG8+BJ8+BL8+BN8+BP8
+BS8
+BU8
+BX8
+CA8</f>
        <v>0</v>
      </c>
      <c r="I8" s="72">
        <f t="shared" si="0"/>
        <v>0</v>
      </c>
      <c r="J8" s="150"/>
      <c r="K8" s="48"/>
      <c r="L8" s="73">
        <f t="shared" si="1"/>
        <v>0</v>
      </c>
      <c r="M8" s="48"/>
      <c r="N8" s="73">
        <f t="shared" si="2"/>
        <v>0</v>
      </c>
      <c r="P8" s="48"/>
      <c r="Q8" s="73">
        <f t="shared" si="3"/>
        <v>0</v>
      </c>
      <c r="R8" s="48"/>
      <c r="S8" s="73">
        <f t="shared" si="4"/>
        <v>0</v>
      </c>
      <c r="T8" s="48"/>
      <c r="U8" s="73">
        <f t="shared" si="5"/>
        <v>0</v>
      </c>
      <c r="V8" s="48"/>
      <c r="W8" s="73">
        <f t="shared" si="6"/>
        <v>0</v>
      </c>
      <c r="Y8" s="48"/>
      <c r="Z8" s="73">
        <f t="shared" si="7"/>
        <v>0</v>
      </c>
      <c r="AA8" s="48"/>
      <c r="AB8" s="73">
        <f t="shared" si="8"/>
        <v>0</v>
      </c>
      <c r="AC8" s="48"/>
      <c r="AD8" s="73">
        <f t="shared" si="9"/>
        <v>0</v>
      </c>
      <c r="AE8" s="48"/>
      <c r="AF8" s="73">
        <f t="shared" si="10"/>
        <v>0</v>
      </c>
      <c r="AG8" s="2"/>
      <c r="AH8" s="48"/>
      <c r="AI8" s="73">
        <f t="shared" si="11"/>
        <v>0</v>
      </c>
      <c r="AJ8" s="48"/>
      <c r="AK8" s="73">
        <f t="shared" si="12"/>
        <v>0</v>
      </c>
      <c r="AL8" s="48"/>
      <c r="AM8" s="73">
        <f t="shared" si="13"/>
        <v>0</v>
      </c>
      <c r="AN8" s="48"/>
      <c r="AO8" s="73">
        <f t="shared" si="14"/>
        <v>0</v>
      </c>
      <c r="AP8" s="2"/>
      <c r="AQ8" s="48"/>
      <c r="AR8" s="73">
        <f t="shared" si="15"/>
        <v>0</v>
      </c>
      <c r="AS8" s="48"/>
      <c r="AT8" s="73">
        <f t="shared" si="16"/>
        <v>0</v>
      </c>
      <c r="AU8" s="48"/>
      <c r="AV8" s="73">
        <f t="shared" si="17"/>
        <v>0</v>
      </c>
      <c r="AW8" s="48"/>
      <c r="AX8" s="73">
        <f t="shared" si="18"/>
        <v>0</v>
      </c>
      <c r="AZ8" s="48"/>
      <c r="BA8" s="73">
        <f t="shared" ref="BA8:BA71" si="24">_xlfn.LET(
    _xlpm.FinalScore, TRIM(SUBSTITUTE($AW$6," ","")),
    _xlpm.UserGuess, TRIM(SUBSTITUTE(AZ8,"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AZ8=""),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B8" s="48"/>
      <c r="BC8" s="73">
        <f t="shared" ref="BC8:BC71" si="25">_xlfn.LET(
    _xlpm.FinalScore, TRIM(SUBSTITUTE($AW$6," ","")),
    _xlpm.UserGuess, TRIM(SUBSTITUTE(BB8,"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BB8=""),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D8" s="48"/>
      <c r="BE8" s="73">
        <f t="shared" ref="BE8:BE71" si="26">_xlfn.LET(
    _xlpm.FinalScore, TRIM(SUBSTITUTE($AW$6," ","")),
    _xlpm.UserGuess, TRIM(SUBSTITUTE(BD8,"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BD8=""),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F8" s="48"/>
      <c r="BG8" s="73">
        <f t="shared" ref="BG8:BG71" si="27">_xlfn.LET(
    _xlpm.FinalScore, TRIM(SUBSTITUTE($AW$6," ","")),
    _xlpm.UserGuess, TRIM(SUBSTITUTE(BF8,"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BF8=""),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I8" s="48"/>
      <c r="BJ8" s="73">
        <f t="shared" si="19"/>
        <v>0</v>
      </c>
      <c r="BK8" s="48"/>
      <c r="BL8" s="73">
        <f t="shared" ref="BL8:BL71" si="28">_xlfn.LET(
    _xlpm.FinalScore, TRIM(SUBSTITUTE($AW$6," ","")),
    _xlpm.UserGuess, TRIM(SUBSTITUTE(BK8,"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BK8=""),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M8" s="48"/>
      <c r="BN8" s="73">
        <f t="shared" ref="BN8:BN71" si="29">_xlfn.LET(
    _xlpm.FinalScore, TRIM(SUBSTITUTE($AW$6," ","")),
    _xlpm.UserGuess, TRIM(SUBSTITUTE(BM8,"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BM8=""),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O8" s="48"/>
      <c r="BP8" s="73">
        <f t="shared" ref="BP8:BP71" si="30">_xlfn.LET(
    _xlpm.FinalScore, TRIM(SUBSTITUTE($AW$6," ","")),
    _xlpm.UserGuess, TRIM(SUBSTITUTE(BO8,"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BO8=""),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R8" s="48"/>
      <c r="BS8" s="73">
        <f t="shared" ref="BS8:BS71" si="31">_xlfn.LET(
    _xlpm.FinalScore, TRIM(SUBSTITUTE($AW$6," ","")),
    _xlpm.UserGuess, TRIM(SUBSTITUTE(BR8,"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BR8=""),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T8" s="48"/>
      <c r="BU8" s="73">
        <f t="shared" ref="BU8:BU71" si="32">_xlfn.LET(
    _xlpm.FinalScore, TRIM(SUBSTITUTE($AW$6," ","")),
    _xlpm.UserGuess, TRIM(SUBSTITUTE(BT8,"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BT8=""),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W8" s="48"/>
      <c r="BX8" s="73">
        <f t="shared" ref="BX8:BX71" si="33">_xlfn.LET(
    _xlpm.FinalScore, TRIM(SUBSTITUTE($AW$6," ","")),
    _xlpm.UserGuess, TRIM(SUBSTITUTE(BW8,"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BW8=""),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Z8" s="48"/>
      <c r="CA8" s="73">
        <f t="shared" ref="CA8:CA71" si="34">_xlfn.LET(
    _xlpm.FinalScore, TRIM(SUBSTITUTE($AW$6," ","")),
    _xlpm.UserGuess, TRIM(SUBSTITUTE(BZ8,"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BZ8=""),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</row>
    <row r="9" spans="1:79" ht="15.75" customHeight="1" thickBot="1">
      <c r="A9" s="24">
        <v>3</v>
      </c>
      <c r="B9" s="22" t="s">
        <v>49</v>
      </c>
      <c r="C9" s="38" t="s">
        <v>50</v>
      </c>
      <c r="D9" s="23" t="s">
        <v>33</v>
      </c>
      <c r="E9" s="70">
        <f t="shared" si="20"/>
        <v>18</v>
      </c>
      <c r="F9" s="70">
        <f t="shared" si="21"/>
        <v>0</v>
      </c>
      <c r="G9" s="71">
        <f t="shared" si="22"/>
        <v>0</v>
      </c>
      <c r="H9" s="71">
        <f t="shared" si="23"/>
        <v>0</v>
      </c>
      <c r="I9" s="72">
        <f t="shared" si="0"/>
        <v>0</v>
      </c>
      <c r="J9" s="150"/>
      <c r="K9" s="48" t="s">
        <v>51</v>
      </c>
      <c r="L9" s="73">
        <f t="shared" si="1"/>
        <v>0</v>
      </c>
      <c r="M9" s="48" t="s">
        <v>36</v>
      </c>
      <c r="N9" s="73">
        <f t="shared" si="2"/>
        <v>0</v>
      </c>
      <c r="P9" s="48" t="s">
        <v>42</v>
      </c>
      <c r="Q9" s="73">
        <f t="shared" si="3"/>
        <v>0</v>
      </c>
      <c r="R9" s="48" t="s">
        <v>40</v>
      </c>
      <c r="S9" s="73">
        <f t="shared" si="4"/>
        <v>0</v>
      </c>
      <c r="T9" s="48" t="s">
        <v>52</v>
      </c>
      <c r="U9" s="73">
        <f t="shared" si="5"/>
        <v>0</v>
      </c>
      <c r="V9" s="48" t="s">
        <v>51</v>
      </c>
      <c r="W9" s="73">
        <f t="shared" si="6"/>
        <v>0</v>
      </c>
      <c r="Y9" s="48" t="s">
        <v>38</v>
      </c>
      <c r="Z9" s="73">
        <f t="shared" si="7"/>
        <v>0</v>
      </c>
      <c r="AA9" s="48" t="s">
        <v>45</v>
      </c>
      <c r="AB9" s="73">
        <f t="shared" si="8"/>
        <v>0</v>
      </c>
      <c r="AC9" s="48" t="s">
        <v>52</v>
      </c>
      <c r="AD9" s="73">
        <f t="shared" si="9"/>
        <v>0</v>
      </c>
      <c r="AE9" s="48" t="s">
        <v>51</v>
      </c>
      <c r="AF9" s="73">
        <f t="shared" si="10"/>
        <v>0</v>
      </c>
      <c r="AG9" s="2"/>
      <c r="AH9" s="48" t="s">
        <v>44</v>
      </c>
      <c r="AI9" s="73">
        <f t="shared" si="11"/>
        <v>0</v>
      </c>
      <c r="AJ9" s="48" t="s">
        <v>53</v>
      </c>
      <c r="AK9" s="73">
        <f t="shared" si="12"/>
        <v>0</v>
      </c>
      <c r="AL9" s="48" t="s">
        <v>36</v>
      </c>
      <c r="AM9" s="73">
        <f t="shared" si="13"/>
        <v>0</v>
      </c>
      <c r="AN9" s="48" t="s">
        <v>41</v>
      </c>
      <c r="AO9" s="73">
        <f t="shared" si="14"/>
        <v>0</v>
      </c>
      <c r="AP9" s="2"/>
      <c r="AQ9" s="48" t="s">
        <v>39</v>
      </c>
      <c r="AR9" s="73">
        <f t="shared" si="15"/>
        <v>0</v>
      </c>
      <c r="AS9" s="48" t="s">
        <v>35</v>
      </c>
      <c r="AT9" s="73">
        <f t="shared" si="16"/>
        <v>0</v>
      </c>
      <c r="AU9" s="48" t="s">
        <v>39</v>
      </c>
      <c r="AV9" s="73">
        <f t="shared" si="17"/>
        <v>0</v>
      </c>
      <c r="AW9" s="48" t="s">
        <v>42</v>
      </c>
      <c r="AX9" s="73">
        <f t="shared" si="18"/>
        <v>0</v>
      </c>
      <c r="AZ9" s="48"/>
      <c r="BA9" s="73">
        <f t="shared" si="24"/>
        <v>0</v>
      </c>
      <c r="BB9" s="48"/>
      <c r="BC9" s="73">
        <f t="shared" si="25"/>
        <v>0</v>
      </c>
      <c r="BD9" s="48"/>
      <c r="BE9" s="73">
        <f t="shared" si="26"/>
        <v>0</v>
      </c>
      <c r="BF9" s="48"/>
      <c r="BG9" s="73">
        <f t="shared" si="27"/>
        <v>0</v>
      </c>
      <c r="BI9" s="48"/>
      <c r="BJ9" s="73">
        <f t="shared" si="19"/>
        <v>0</v>
      </c>
      <c r="BK9" s="48"/>
      <c r="BL9" s="73">
        <f t="shared" si="28"/>
        <v>0</v>
      </c>
      <c r="BM9" s="48"/>
      <c r="BN9" s="73">
        <f t="shared" si="29"/>
        <v>0</v>
      </c>
      <c r="BO9" s="48"/>
      <c r="BP9" s="73">
        <f t="shared" si="30"/>
        <v>0</v>
      </c>
      <c r="BR9" s="48"/>
      <c r="BS9" s="73">
        <f t="shared" si="31"/>
        <v>0</v>
      </c>
      <c r="BT9" s="48"/>
      <c r="BU9" s="73">
        <f t="shared" si="32"/>
        <v>0</v>
      </c>
      <c r="BW9" s="48"/>
      <c r="BX9" s="73">
        <f t="shared" si="33"/>
        <v>0</v>
      </c>
      <c r="BZ9" s="48"/>
      <c r="CA9" s="73">
        <f t="shared" si="34"/>
        <v>0</v>
      </c>
    </row>
    <row r="10" spans="1:79" ht="15.75" customHeight="1" thickBot="1">
      <c r="A10" s="21">
        <v>4</v>
      </c>
      <c r="B10" s="22" t="s">
        <v>54</v>
      </c>
      <c r="C10" s="38" t="s">
        <v>55</v>
      </c>
      <c r="D10" s="23" t="s">
        <v>33</v>
      </c>
      <c r="E10" s="70">
        <f t="shared" si="20"/>
        <v>0</v>
      </c>
      <c r="F10" s="70">
        <f t="shared" si="21"/>
        <v>0</v>
      </c>
      <c r="G10" s="71">
        <f t="shared" si="22"/>
        <v>0</v>
      </c>
      <c r="H10" s="71">
        <f t="shared" si="23"/>
        <v>0</v>
      </c>
      <c r="I10" s="72">
        <f t="shared" si="0"/>
        <v>0</v>
      </c>
      <c r="J10" s="150"/>
      <c r="K10" s="48"/>
      <c r="L10" s="73">
        <f t="shared" si="1"/>
        <v>0</v>
      </c>
      <c r="M10" s="48"/>
      <c r="N10" s="73">
        <f t="shared" si="2"/>
        <v>0</v>
      </c>
      <c r="P10" s="48"/>
      <c r="Q10" s="73">
        <f t="shared" si="3"/>
        <v>0</v>
      </c>
      <c r="R10" s="48"/>
      <c r="S10" s="73">
        <f t="shared" si="4"/>
        <v>0</v>
      </c>
      <c r="T10" s="48"/>
      <c r="U10" s="73">
        <f t="shared" si="5"/>
        <v>0</v>
      </c>
      <c r="V10" s="48"/>
      <c r="W10" s="73">
        <f t="shared" si="6"/>
        <v>0</v>
      </c>
      <c r="Y10" s="48"/>
      <c r="Z10" s="73">
        <f t="shared" si="7"/>
        <v>0</v>
      </c>
      <c r="AA10" s="48"/>
      <c r="AB10" s="73">
        <f t="shared" si="8"/>
        <v>0</v>
      </c>
      <c r="AC10" s="48"/>
      <c r="AD10" s="73">
        <f t="shared" si="9"/>
        <v>0</v>
      </c>
      <c r="AE10" s="48"/>
      <c r="AF10" s="73">
        <f t="shared" si="10"/>
        <v>0</v>
      </c>
      <c r="AG10" s="2"/>
      <c r="AH10" s="48"/>
      <c r="AI10" s="73">
        <f t="shared" si="11"/>
        <v>0</v>
      </c>
      <c r="AJ10" s="48"/>
      <c r="AK10" s="73">
        <f t="shared" si="12"/>
        <v>0</v>
      </c>
      <c r="AL10" s="48"/>
      <c r="AM10" s="73">
        <f t="shared" si="13"/>
        <v>0</v>
      </c>
      <c r="AN10" s="48"/>
      <c r="AO10" s="73">
        <f t="shared" si="14"/>
        <v>0</v>
      </c>
      <c r="AP10" s="2"/>
      <c r="AQ10" s="48"/>
      <c r="AR10" s="73">
        <f t="shared" si="15"/>
        <v>0</v>
      </c>
      <c r="AS10" s="48"/>
      <c r="AT10" s="73">
        <f t="shared" si="16"/>
        <v>0</v>
      </c>
      <c r="AU10" s="48"/>
      <c r="AV10" s="73">
        <f t="shared" si="17"/>
        <v>0</v>
      </c>
      <c r="AW10" s="48"/>
      <c r="AX10" s="73">
        <f t="shared" si="18"/>
        <v>0</v>
      </c>
      <c r="AZ10" s="48"/>
      <c r="BA10" s="73">
        <f t="shared" si="24"/>
        <v>0</v>
      </c>
      <c r="BB10" s="48"/>
      <c r="BC10" s="73">
        <f t="shared" si="25"/>
        <v>0</v>
      </c>
      <c r="BD10" s="48"/>
      <c r="BE10" s="73">
        <f t="shared" si="26"/>
        <v>0</v>
      </c>
      <c r="BF10" s="48"/>
      <c r="BG10" s="73">
        <f t="shared" si="27"/>
        <v>0</v>
      </c>
      <c r="BI10" s="48"/>
      <c r="BJ10" s="73">
        <f t="shared" si="19"/>
        <v>0</v>
      </c>
      <c r="BK10" s="48"/>
      <c r="BL10" s="73">
        <f t="shared" si="28"/>
        <v>0</v>
      </c>
      <c r="BM10" s="48"/>
      <c r="BN10" s="73">
        <f t="shared" si="29"/>
        <v>0</v>
      </c>
      <c r="BO10" s="48"/>
      <c r="BP10" s="73">
        <f t="shared" si="30"/>
        <v>0</v>
      </c>
      <c r="BR10" s="48"/>
      <c r="BS10" s="73">
        <f t="shared" si="31"/>
        <v>0</v>
      </c>
      <c r="BT10" s="48"/>
      <c r="BU10" s="73">
        <f t="shared" si="32"/>
        <v>0</v>
      </c>
      <c r="BW10" s="48"/>
      <c r="BX10" s="73">
        <f t="shared" si="33"/>
        <v>0</v>
      </c>
      <c r="BZ10" s="48"/>
      <c r="CA10" s="73">
        <f t="shared" si="34"/>
        <v>0</v>
      </c>
    </row>
    <row r="11" spans="1:79" ht="15.75" customHeight="1" thickBot="1">
      <c r="A11" s="24">
        <v>5</v>
      </c>
      <c r="B11" s="22" t="s">
        <v>56</v>
      </c>
      <c r="C11" s="38" t="s">
        <v>57</v>
      </c>
      <c r="D11" s="17" t="s">
        <v>33</v>
      </c>
      <c r="E11" s="70">
        <f t="shared" si="20"/>
        <v>3</v>
      </c>
      <c r="F11" s="70">
        <f t="shared" si="21"/>
        <v>0</v>
      </c>
      <c r="G11" s="71">
        <f t="shared" si="22"/>
        <v>0</v>
      </c>
      <c r="H11" s="71">
        <f t="shared" si="23"/>
        <v>0</v>
      </c>
      <c r="I11" s="72">
        <f t="shared" si="0"/>
        <v>0</v>
      </c>
      <c r="J11" s="150"/>
      <c r="K11" s="48" t="s">
        <v>58</v>
      </c>
      <c r="L11" s="73">
        <f t="shared" si="1"/>
        <v>0</v>
      </c>
      <c r="M11" s="48" t="s">
        <v>46</v>
      </c>
      <c r="N11" s="73">
        <f t="shared" si="2"/>
        <v>0</v>
      </c>
      <c r="P11" s="48" t="s">
        <v>44</v>
      </c>
      <c r="Q11" s="73">
        <f t="shared" si="3"/>
        <v>0</v>
      </c>
      <c r="R11" s="48"/>
      <c r="S11" s="73">
        <f t="shared" si="4"/>
        <v>0</v>
      </c>
      <c r="T11" s="48"/>
      <c r="U11" s="73">
        <f t="shared" si="5"/>
        <v>0</v>
      </c>
      <c r="V11" s="48"/>
      <c r="W11" s="73">
        <f t="shared" si="6"/>
        <v>0</v>
      </c>
      <c r="Y11" s="48"/>
      <c r="Z11" s="73">
        <f t="shared" si="7"/>
        <v>0</v>
      </c>
      <c r="AA11" s="48"/>
      <c r="AB11" s="73">
        <f t="shared" si="8"/>
        <v>0</v>
      </c>
      <c r="AC11" s="48"/>
      <c r="AD11" s="73">
        <f t="shared" si="9"/>
        <v>0</v>
      </c>
      <c r="AE11" s="48"/>
      <c r="AF11" s="73">
        <f t="shared" si="10"/>
        <v>0</v>
      </c>
      <c r="AG11" s="2"/>
      <c r="AH11" s="48"/>
      <c r="AI11" s="73">
        <f t="shared" si="11"/>
        <v>0</v>
      </c>
      <c r="AJ11" s="48"/>
      <c r="AK11" s="73">
        <f t="shared" si="12"/>
        <v>0</v>
      </c>
      <c r="AL11" s="48"/>
      <c r="AM11" s="73">
        <f t="shared" si="13"/>
        <v>0</v>
      </c>
      <c r="AN11" s="48"/>
      <c r="AO11" s="73">
        <f t="shared" si="14"/>
        <v>0</v>
      </c>
      <c r="AP11" s="2"/>
      <c r="AQ11" s="48"/>
      <c r="AR11" s="73">
        <f t="shared" si="15"/>
        <v>0</v>
      </c>
      <c r="AS11" s="48"/>
      <c r="AT11" s="73">
        <f t="shared" si="16"/>
        <v>0</v>
      </c>
      <c r="AU11" s="48"/>
      <c r="AV11" s="73">
        <f t="shared" si="17"/>
        <v>0</v>
      </c>
      <c r="AW11" s="48"/>
      <c r="AX11" s="73">
        <f t="shared" si="18"/>
        <v>0</v>
      </c>
      <c r="AZ11" s="48"/>
      <c r="BA11" s="73">
        <f t="shared" si="24"/>
        <v>0</v>
      </c>
      <c r="BB11" s="48"/>
      <c r="BC11" s="73">
        <f t="shared" si="25"/>
        <v>0</v>
      </c>
      <c r="BD11" s="48"/>
      <c r="BE11" s="73">
        <f t="shared" si="26"/>
        <v>0</v>
      </c>
      <c r="BF11" s="48"/>
      <c r="BG11" s="73">
        <f t="shared" si="27"/>
        <v>0</v>
      </c>
      <c r="BI11" s="48"/>
      <c r="BJ11" s="73">
        <f t="shared" si="19"/>
        <v>0</v>
      </c>
      <c r="BK11" s="48"/>
      <c r="BL11" s="73">
        <f t="shared" si="28"/>
        <v>0</v>
      </c>
      <c r="BM11" s="48"/>
      <c r="BN11" s="73">
        <f t="shared" si="29"/>
        <v>0</v>
      </c>
      <c r="BO11" s="48"/>
      <c r="BP11" s="73">
        <f t="shared" si="30"/>
        <v>0</v>
      </c>
      <c r="BR11" s="48"/>
      <c r="BS11" s="73">
        <f t="shared" si="31"/>
        <v>0</v>
      </c>
      <c r="BT11" s="48"/>
      <c r="BU11" s="73">
        <f t="shared" si="32"/>
        <v>0</v>
      </c>
      <c r="BW11" s="48"/>
      <c r="BX11" s="73">
        <f t="shared" si="33"/>
        <v>0</v>
      </c>
      <c r="BZ11" s="48"/>
      <c r="CA11" s="73">
        <f t="shared" si="34"/>
        <v>0</v>
      </c>
    </row>
    <row r="12" spans="1:79" ht="15.75" customHeight="1" thickBot="1">
      <c r="A12" s="21">
        <v>6</v>
      </c>
      <c r="B12" s="22" t="s">
        <v>59</v>
      </c>
      <c r="C12" s="38" t="s">
        <v>60</v>
      </c>
      <c r="D12" s="23" t="s">
        <v>33</v>
      </c>
      <c r="E12" s="70">
        <f t="shared" si="20"/>
        <v>18</v>
      </c>
      <c r="F12" s="70">
        <f t="shared" si="21"/>
        <v>0</v>
      </c>
      <c r="G12" s="71">
        <f t="shared" si="22"/>
        <v>0</v>
      </c>
      <c r="H12" s="71">
        <f t="shared" si="23"/>
        <v>0</v>
      </c>
      <c r="I12" s="72">
        <f t="shared" si="0"/>
        <v>0</v>
      </c>
      <c r="J12" s="150"/>
      <c r="K12" s="48" t="s">
        <v>40</v>
      </c>
      <c r="L12" s="73">
        <f t="shared" si="1"/>
        <v>0</v>
      </c>
      <c r="M12" s="48" t="s">
        <v>61</v>
      </c>
      <c r="N12" s="73">
        <f t="shared" si="2"/>
        <v>0</v>
      </c>
      <c r="P12" s="48" t="s">
        <v>43</v>
      </c>
      <c r="Q12" s="73">
        <f t="shared" si="3"/>
        <v>0</v>
      </c>
      <c r="R12" s="48" t="s">
        <v>62</v>
      </c>
      <c r="S12" s="73">
        <f t="shared" si="4"/>
        <v>0</v>
      </c>
      <c r="T12" s="48" t="s">
        <v>37</v>
      </c>
      <c r="U12" s="73">
        <f t="shared" si="5"/>
        <v>0</v>
      </c>
      <c r="V12" s="48" t="s">
        <v>63</v>
      </c>
      <c r="W12" s="73">
        <f t="shared" si="6"/>
        <v>0</v>
      </c>
      <c r="Y12" s="48" t="s">
        <v>64</v>
      </c>
      <c r="Z12" s="73">
        <f t="shared" si="7"/>
        <v>0</v>
      </c>
      <c r="AA12" s="48" t="s">
        <v>37</v>
      </c>
      <c r="AB12" s="73">
        <f t="shared" si="8"/>
        <v>0</v>
      </c>
      <c r="AC12" s="48" t="s">
        <v>65</v>
      </c>
      <c r="AD12" s="73">
        <f t="shared" si="9"/>
        <v>0</v>
      </c>
      <c r="AE12" s="48" t="s">
        <v>63</v>
      </c>
      <c r="AF12" s="73">
        <f t="shared" si="10"/>
        <v>0</v>
      </c>
      <c r="AG12" s="2"/>
      <c r="AH12" s="48" t="s">
        <v>66</v>
      </c>
      <c r="AI12" s="73">
        <f t="shared" si="11"/>
        <v>0</v>
      </c>
      <c r="AJ12" s="48" t="s">
        <v>38</v>
      </c>
      <c r="AK12" s="73">
        <f t="shared" si="12"/>
        <v>0</v>
      </c>
      <c r="AL12" s="48" t="s">
        <v>41</v>
      </c>
      <c r="AM12" s="73">
        <f t="shared" si="13"/>
        <v>0</v>
      </c>
      <c r="AN12" s="48" t="s">
        <v>63</v>
      </c>
      <c r="AO12" s="73">
        <f t="shared" si="14"/>
        <v>0</v>
      </c>
      <c r="AP12" s="2"/>
      <c r="AQ12" s="48" t="s">
        <v>67</v>
      </c>
      <c r="AR12" s="73">
        <f t="shared" si="15"/>
        <v>0</v>
      </c>
      <c r="AS12" s="48" t="s">
        <v>68</v>
      </c>
      <c r="AT12" s="73">
        <f t="shared" si="16"/>
        <v>0</v>
      </c>
      <c r="AU12" s="48" t="s">
        <v>44</v>
      </c>
      <c r="AV12" s="73">
        <f t="shared" si="17"/>
        <v>0</v>
      </c>
      <c r="AW12" s="48" t="s">
        <v>66</v>
      </c>
      <c r="AX12" s="73">
        <f t="shared" si="18"/>
        <v>0</v>
      </c>
      <c r="AZ12" s="48"/>
      <c r="BA12" s="73">
        <f t="shared" si="24"/>
        <v>0</v>
      </c>
      <c r="BB12" s="48"/>
      <c r="BC12" s="73">
        <f t="shared" si="25"/>
        <v>0</v>
      </c>
      <c r="BD12" s="48"/>
      <c r="BE12" s="73">
        <f t="shared" si="26"/>
        <v>0</v>
      </c>
      <c r="BF12" s="48"/>
      <c r="BG12" s="73">
        <f t="shared" si="27"/>
        <v>0</v>
      </c>
      <c r="BI12" s="48"/>
      <c r="BJ12" s="73">
        <f t="shared" si="19"/>
        <v>0</v>
      </c>
      <c r="BK12" s="48"/>
      <c r="BL12" s="73">
        <f t="shared" si="28"/>
        <v>0</v>
      </c>
      <c r="BM12" s="48"/>
      <c r="BN12" s="73">
        <f t="shared" si="29"/>
        <v>0</v>
      </c>
      <c r="BO12" s="48"/>
      <c r="BP12" s="73">
        <f t="shared" si="30"/>
        <v>0</v>
      </c>
      <c r="BR12" s="48"/>
      <c r="BS12" s="73">
        <f t="shared" si="31"/>
        <v>0</v>
      </c>
      <c r="BT12" s="48"/>
      <c r="BU12" s="73">
        <f t="shared" si="32"/>
        <v>0</v>
      </c>
      <c r="BW12" s="48"/>
      <c r="BX12" s="73">
        <f t="shared" si="33"/>
        <v>0</v>
      </c>
      <c r="BZ12" s="48"/>
      <c r="CA12" s="73">
        <f t="shared" si="34"/>
        <v>0</v>
      </c>
    </row>
    <row r="13" spans="1:79" ht="15.75" customHeight="1" thickBot="1">
      <c r="A13" s="24">
        <v>7</v>
      </c>
      <c r="B13" s="22" t="s">
        <v>69</v>
      </c>
      <c r="C13" s="38" t="s">
        <v>70</v>
      </c>
      <c r="D13" s="23" t="s">
        <v>33</v>
      </c>
      <c r="E13" s="70">
        <f t="shared" si="20"/>
        <v>0</v>
      </c>
      <c r="F13" s="70">
        <f t="shared" si="21"/>
        <v>0</v>
      </c>
      <c r="G13" s="71">
        <f t="shared" si="22"/>
        <v>0</v>
      </c>
      <c r="H13" s="71">
        <f t="shared" si="23"/>
        <v>0</v>
      </c>
      <c r="I13" s="72">
        <f t="shared" si="0"/>
        <v>0</v>
      </c>
      <c r="J13" s="150"/>
      <c r="K13" s="48"/>
      <c r="L13" s="73">
        <f t="shared" si="1"/>
        <v>0</v>
      </c>
      <c r="M13" s="48"/>
      <c r="N13" s="73">
        <f t="shared" si="2"/>
        <v>0</v>
      </c>
      <c r="P13" s="48"/>
      <c r="Q13" s="73">
        <f t="shared" si="3"/>
        <v>0</v>
      </c>
      <c r="R13" s="48"/>
      <c r="S13" s="73">
        <f t="shared" si="4"/>
        <v>0</v>
      </c>
      <c r="T13" s="48"/>
      <c r="U13" s="73">
        <f t="shared" si="5"/>
        <v>0</v>
      </c>
      <c r="V13" s="48"/>
      <c r="W13" s="73">
        <f t="shared" si="6"/>
        <v>0</v>
      </c>
      <c r="Y13" s="48"/>
      <c r="Z13" s="73">
        <f t="shared" si="7"/>
        <v>0</v>
      </c>
      <c r="AA13" s="48"/>
      <c r="AB13" s="73">
        <f t="shared" si="8"/>
        <v>0</v>
      </c>
      <c r="AC13" s="48"/>
      <c r="AD13" s="73">
        <f t="shared" si="9"/>
        <v>0</v>
      </c>
      <c r="AE13" s="48"/>
      <c r="AF13" s="73">
        <f t="shared" si="10"/>
        <v>0</v>
      </c>
      <c r="AG13" s="2"/>
      <c r="AH13" s="48"/>
      <c r="AI13" s="73">
        <f t="shared" si="11"/>
        <v>0</v>
      </c>
      <c r="AJ13" s="48"/>
      <c r="AK13" s="73">
        <f t="shared" si="12"/>
        <v>0</v>
      </c>
      <c r="AL13" s="48"/>
      <c r="AM13" s="73">
        <f t="shared" si="13"/>
        <v>0</v>
      </c>
      <c r="AN13" s="48"/>
      <c r="AO13" s="73">
        <f t="shared" si="14"/>
        <v>0</v>
      </c>
      <c r="AP13" s="2"/>
      <c r="AQ13" s="48"/>
      <c r="AR13" s="73">
        <f t="shared" si="15"/>
        <v>0</v>
      </c>
      <c r="AS13" s="48"/>
      <c r="AT13" s="73">
        <f t="shared" si="16"/>
        <v>0</v>
      </c>
      <c r="AU13" s="48"/>
      <c r="AV13" s="73">
        <f t="shared" si="17"/>
        <v>0</v>
      </c>
      <c r="AW13" s="48"/>
      <c r="AX13" s="73">
        <f t="shared" si="18"/>
        <v>0</v>
      </c>
      <c r="AZ13" s="48"/>
      <c r="BA13" s="73">
        <f t="shared" si="24"/>
        <v>0</v>
      </c>
      <c r="BB13" s="48"/>
      <c r="BC13" s="73">
        <f t="shared" si="25"/>
        <v>0</v>
      </c>
      <c r="BD13" s="48"/>
      <c r="BE13" s="73">
        <f t="shared" si="26"/>
        <v>0</v>
      </c>
      <c r="BF13" s="48"/>
      <c r="BG13" s="73">
        <f t="shared" si="27"/>
        <v>0</v>
      </c>
      <c r="BI13" s="48"/>
      <c r="BJ13" s="73">
        <f t="shared" si="19"/>
        <v>0</v>
      </c>
      <c r="BK13" s="48"/>
      <c r="BL13" s="73">
        <f t="shared" si="28"/>
        <v>0</v>
      </c>
      <c r="BM13" s="48"/>
      <c r="BN13" s="73">
        <f t="shared" si="29"/>
        <v>0</v>
      </c>
      <c r="BO13" s="48"/>
      <c r="BP13" s="73">
        <f t="shared" si="30"/>
        <v>0</v>
      </c>
      <c r="BR13" s="48"/>
      <c r="BS13" s="73">
        <f t="shared" si="31"/>
        <v>0</v>
      </c>
      <c r="BT13" s="48"/>
      <c r="BU13" s="73">
        <f t="shared" si="32"/>
        <v>0</v>
      </c>
      <c r="BW13" s="48"/>
      <c r="BX13" s="73">
        <f t="shared" si="33"/>
        <v>0</v>
      </c>
      <c r="BZ13" s="48"/>
      <c r="CA13" s="73">
        <f t="shared" si="34"/>
        <v>0</v>
      </c>
    </row>
    <row r="14" spans="1:79" ht="15.75" customHeight="1" thickBot="1">
      <c r="A14" s="21">
        <v>8</v>
      </c>
      <c r="B14" s="22" t="s">
        <v>71</v>
      </c>
      <c r="C14" s="45" t="s">
        <v>72</v>
      </c>
      <c r="D14" s="23" t="s">
        <v>33</v>
      </c>
      <c r="E14" s="70">
        <f t="shared" si="20"/>
        <v>18</v>
      </c>
      <c r="F14" s="70">
        <f t="shared" si="21"/>
        <v>0</v>
      </c>
      <c r="G14" s="71">
        <f t="shared" si="22"/>
        <v>0</v>
      </c>
      <c r="H14" s="71">
        <f t="shared" si="23"/>
        <v>0</v>
      </c>
      <c r="I14" s="72">
        <f t="shared" si="0"/>
        <v>0</v>
      </c>
      <c r="J14" s="150"/>
      <c r="K14" s="48" t="s">
        <v>45</v>
      </c>
      <c r="L14" s="73">
        <f t="shared" si="1"/>
        <v>0</v>
      </c>
      <c r="M14" s="48" t="s">
        <v>73</v>
      </c>
      <c r="N14" s="73">
        <f t="shared" si="2"/>
        <v>0</v>
      </c>
      <c r="P14" s="48" t="s">
        <v>36</v>
      </c>
      <c r="Q14" s="73">
        <f t="shared" si="3"/>
        <v>0</v>
      </c>
      <c r="R14" s="48" t="s">
        <v>37</v>
      </c>
      <c r="S14" s="73">
        <f t="shared" si="4"/>
        <v>0</v>
      </c>
      <c r="T14" s="48" t="s">
        <v>65</v>
      </c>
      <c r="U14" s="73">
        <f t="shared" si="5"/>
        <v>0</v>
      </c>
      <c r="V14" s="48" t="s">
        <v>66</v>
      </c>
      <c r="W14" s="73">
        <f t="shared" si="6"/>
        <v>0</v>
      </c>
      <c r="Y14" s="48" t="s">
        <v>45</v>
      </c>
      <c r="Z14" s="73">
        <f t="shared" si="7"/>
        <v>0</v>
      </c>
      <c r="AA14" s="48" t="s">
        <v>74</v>
      </c>
      <c r="AB14" s="73">
        <f t="shared" si="8"/>
        <v>0</v>
      </c>
      <c r="AC14" s="48" t="s">
        <v>74</v>
      </c>
      <c r="AD14" s="73">
        <f t="shared" si="9"/>
        <v>0</v>
      </c>
      <c r="AE14" s="48" t="s">
        <v>38</v>
      </c>
      <c r="AF14" s="73">
        <f t="shared" si="10"/>
        <v>0</v>
      </c>
      <c r="AG14" s="2"/>
      <c r="AH14" s="48" t="s">
        <v>75</v>
      </c>
      <c r="AI14" s="73">
        <f t="shared" si="11"/>
        <v>0</v>
      </c>
      <c r="AJ14" s="48" t="s">
        <v>46</v>
      </c>
      <c r="AK14" s="73">
        <f t="shared" si="12"/>
        <v>0</v>
      </c>
      <c r="AL14" s="48" t="s">
        <v>43</v>
      </c>
      <c r="AM14" s="73">
        <f t="shared" si="13"/>
        <v>0</v>
      </c>
      <c r="AN14" s="48" t="s">
        <v>36</v>
      </c>
      <c r="AO14" s="73">
        <f t="shared" si="14"/>
        <v>0</v>
      </c>
      <c r="AP14" s="2"/>
      <c r="AQ14" s="48" t="s">
        <v>39</v>
      </c>
      <c r="AR14" s="73">
        <f t="shared" si="15"/>
        <v>0</v>
      </c>
      <c r="AS14" s="48" t="s">
        <v>68</v>
      </c>
      <c r="AT14" s="73">
        <f t="shared" si="16"/>
        <v>0</v>
      </c>
      <c r="AU14" s="48" t="s">
        <v>40</v>
      </c>
      <c r="AV14" s="73">
        <f t="shared" si="17"/>
        <v>0</v>
      </c>
      <c r="AW14" s="48" t="s">
        <v>38</v>
      </c>
      <c r="AX14" s="73">
        <f t="shared" si="18"/>
        <v>0</v>
      </c>
      <c r="AZ14" s="48"/>
      <c r="BA14" s="73">
        <f t="shared" si="24"/>
        <v>0</v>
      </c>
      <c r="BB14" s="48"/>
      <c r="BC14" s="73">
        <f t="shared" si="25"/>
        <v>0</v>
      </c>
      <c r="BD14" s="48"/>
      <c r="BE14" s="73">
        <f t="shared" si="26"/>
        <v>0</v>
      </c>
      <c r="BF14" s="48"/>
      <c r="BG14" s="73">
        <f t="shared" si="27"/>
        <v>0</v>
      </c>
      <c r="BI14" s="48"/>
      <c r="BJ14" s="73">
        <f t="shared" si="19"/>
        <v>0</v>
      </c>
      <c r="BK14" s="48"/>
      <c r="BL14" s="73">
        <f t="shared" si="28"/>
        <v>0</v>
      </c>
      <c r="BM14" s="48"/>
      <c r="BN14" s="73">
        <f t="shared" si="29"/>
        <v>0</v>
      </c>
      <c r="BO14" s="48"/>
      <c r="BP14" s="73">
        <f t="shared" si="30"/>
        <v>0</v>
      </c>
      <c r="BR14" s="48"/>
      <c r="BS14" s="73">
        <f t="shared" si="31"/>
        <v>0</v>
      </c>
      <c r="BT14" s="48"/>
      <c r="BU14" s="73">
        <f t="shared" si="32"/>
        <v>0</v>
      </c>
      <c r="BW14" s="48"/>
      <c r="BX14" s="73">
        <f t="shared" si="33"/>
        <v>0</v>
      </c>
      <c r="BZ14" s="48"/>
      <c r="CA14" s="73">
        <f t="shared" si="34"/>
        <v>0</v>
      </c>
    </row>
    <row r="15" spans="1:79" ht="15.75" customHeight="1" thickBot="1">
      <c r="A15" s="24">
        <v>9</v>
      </c>
      <c r="B15" s="22" t="s">
        <v>76</v>
      </c>
      <c r="C15" s="58" t="s">
        <v>77</v>
      </c>
      <c r="D15" s="43" t="s">
        <v>33</v>
      </c>
      <c r="E15" s="70">
        <f t="shared" si="20"/>
        <v>9</v>
      </c>
      <c r="F15" s="70">
        <f t="shared" si="21"/>
        <v>0</v>
      </c>
      <c r="G15" s="71">
        <f t="shared" si="22"/>
        <v>0</v>
      </c>
      <c r="H15" s="71">
        <f t="shared" si="23"/>
        <v>0</v>
      </c>
      <c r="I15" s="72">
        <f t="shared" si="0"/>
        <v>0</v>
      </c>
      <c r="J15" s="150"/>
      <c r="K15" s="48" t="s">
        <v>37</v>
      </c>
      <c r="L15" s="73">
        <f t="shared" si="1"/>
        <v>0</v>
      </c>
      <c r="M15" s="48" t="s">
        <v>78</v>
      </c>
      <c r="N15" s="73">
        <f t="shared" si="2"/>
        <v>0</v>
      </c>
      <c r="P15" s="48" t="s">
        <v>38</v>
      </c>
      <c r="Q15" s="73">
        <f t="shared" si="3"/>
        <v>0</v>
      </c>
      <c r="R15" s="48" t="s">
        <v>64</v>
      </c>
      <c r="S15" s="73">
        <f t="shared" si="4"/>
        <v>0</v>
      </c>
      <c r="T15" s="48" t="s">
        <v>74</v>
      </c>
      <c r="U15" s="73">
        <f t="shared" si="5"/>
        <v>0</v>
      </c>
      <c r="V15" s="48" t="s">
        <v>38</v>
      </c>
      <c r="W15" s="73">
        <f t="shared" si="6"/>
        <v>0</v>
      </c>
      <c r="Y15" s="48" t="s">
        <v>39</v>
      </c>
      <c r="Z15" s="73">
        <f t="shared" si="7"/>
        <v>0</v>
      </c>
      <c r="AA15" s="48" t="s">
        <v>37</v>
      </c>
      <c r="AB15" s="73">
        <f t="shared" si="8"/>
        <v>0</v>
      </c>
      <c r="AC15" s="48" t="s">
        <v>79</v>
      </c>
      <c r="AD15" s="73">
        <f t="shared" si="9"/>
        <v>0</v>
      </c>
      <c r="AE15" s="48"/>
      <c r="AF15" s="73">
        <f t="shared" si="10"/>
        <v>0</v>
      </c>
      <c r="AG15" s="2"/>
      <c r="AH15" s="48"/>
      <c r="AI15" s="73">
        <f t="shared" si="11"/>
        <v>0</v>
      </c>
      <c r="AJ15" s="48"/>
      <c r="AK15" s="73">
        <f t="shared" si="12"/>
        <v>0</v>
      </c>
      <c r="AL15" s="48"/>
      <c r="AM15" s="73">
        <f t="shared" si="13"/>
        <v>0</v>
      </c>
      <c r="AN15" s="48"/>
      <c r="AO15" s="73">
        <f t="shared" si="14"/>
        <v>0</v>
      </c>
      <c r="AP15" s="2"/>
      <c r="AQ15" s="48"/>
      <c r="AR15" s="73">
        <f t="shared" si="15"/>
        <v>0</v>
      </c>
      <c r="AS15" s="48"/>
      <c r="AT15" s="73">
        <f t="shared" si="16"/>
        <v>0</v>
      </c>
      <c r="AU15" s="48"/>
      <c r="AV15" s="73">
        <f t="shared" si="17"/>
        <v>0</v>
      </c>
      <c r="AW15" s="48"/>
      <c r="AX15" s="73">
        <f t="shared" si="18"/>
        <v>0</v>
      </c>
      <c r="AZ15" s="48"/>
      <c r="BA15" s="73">
        <f t="shared" si="24"/>
        <v>0</v>
      </c>
      <c r="BB15" s="48"/>
      <c r="BC15" s="73">
        <f t="shared" si="25"/>
        <v>0</v>
      </c>
      <c r="BD15" s="48"/>
      <c r="BE15" s="73">
        <f t="shared" si="26"/>
        <v>0</v>
      </c>
      <c r="BF15" s="48"/>
      <c r="BG15" s="73">
        <f t="shared" si="27"/>
        <v>0</v>
      </c>
      <c r="BI15" s="48"/>
      <c r="BJ15" s="73">
        <f t="shared" si="19"/>
        <v>0</v>
      </c>
      <c r="BK15" s="48"/>
      <c r="BL15" s="73">
        <f t="shared" si="28"/>
        <v>0</v>
      </c>
      <c r="BM15" s="48"/>
      <c r="BN15" s="73">
        <f t="shared" si="29"/>
        <v>0</v>
      </c>
      <c r="BO15" s="48"/>
      <c r="BP15" s="73">
        <f t="shared" si="30"/>
        <v>0</v>
      </c>
      <c r="BR15" s="48"/>
      <c r="BS15" s="73">
        <f t="shared" si="31"/>
        <v>0</v>
      </c>
      <c r="BT15" s="48"/>
      <c r="BU15" s="73">
        <f t="shared" si="32"/>
        <v>0</v>
      </c>
      <c r="BW15" s="48"/>
      <c r="BX15" s="73">
        <f t="shared" si="33"/>
        <v>0</v>
      </c>
      <c r="BZ15" s="48"/>
      <c r="CA15" s="73">
        <f t="shared" si="34"/>
        <v>0</v>
      </c>
    </row>
    <row r="16" spans="1:79" ht="15.75" customHeight="1" thickBot="1">
      <c r="A16" s="21">
        <v>10</v>
      </c>
      <c r="C16" s="57"/>
      <c r="D16" s="59"/>
      <c r="E16" s="70">
        <f t="shared" si="20"/>
        <v>0</v>
      </c>
      <c r="F16" s="70">
        <f t="shared" si="21"/>
        <v>0</v>
      </c>
      <c r="G16" s="71">
        <f t="shared" si="22"/>
        <v>0</v>
      </c>
      <c r="H16" s="71">
        <f t="shared" si="23"/>
        <v>0</v>
      </c>
      <c r="I16" s="72">
        <f t="shared" si="0"/>
        <v>0</v>
      </c>
      <c r="J16" s="150"/>
      <c r="K16" s="48"/>
      <c r="L16" s="73">
        <f t="shared" si="1"/>
        <v>0</v>
      </c>
      <c r="M16" s="48"/>
      <c r="N16" s="73">
        <f t="shared" si="2"/>
        <v>0</v>
      </c>
      <c r="P16" s="48"/>
      <c r="Q16" s="73">
        <f t="shared" si="3"/>
        <v>0</v>
      </c>
      <c r="R16" s="48"/>
      <c r="S16" s="73">
        <f t="shared" si="4"/>
        <v>0</v>
      </c>
      <c r="T16" s="48"/>
      <c r="U16" s="73">
        <f t="shared" si="5"/>
        <v>0</v>
      </c>
      <c r="V16" s="48"/>
      <c r="W16" s="73">
        <f t="shared" si="6"/>
        <v>0</v>
      </c>
      <c r="Y16" s="48"/>
      <c r="Z16" s="73">
        <f t="shared" si="7"/>
        <v>0</v>
      </c>
      <c r="AA16" s="48"/>
      <c r="AB16" s="73">
        <f t="shared" si="8"/>
        <v>0</v>
      </c>
      <c r="AC16" s="48"/>
      <c r="AD16" s="73">
        <f t="shared" si="9"/>
        <v>0</v>
      </c>
      <c r="AE16" s="48"/>
      <c r="AF16" s="73">
        <f t="shared" si="10"/>
        <v>0</v>
      </c>
      <c r="AG16" s="2"/>
      <c r="AH16" s="48"/>
      <c r="AI16" s="73">
        <f t="shared" si="11"/>
        <v>0</v>
      </c>
      <c r="AJ16" s="48"/>
      <c r="AK16" s="73">
        <f t="shared" si="12"/>
        <v>0</v>
      </c>
      <c r="AL16" s="48"/>
      <c r="AM16" s="73">
        <f t="shared" si="13"/>
        <v>0</v>
      </c>
      <c r="AN16" s="48"/>
      <c r="AO16" s="73">
        <f t="shared" si="14"/>
        <v>0</v>
      </c>
      <c r="AP16" s="2"/>
      <c r="AQ16" s="48"/>
      <c r="AR16" s="73">
        <f t="shared" si="15"/>
        <v>0</v>
      </c>
      <c r="AS16" s="48"/>
      <c r="AT16" s="73">
        <f t="shared" si="16"/>
        <v>0</v>
      </c>
      <c r="AU16" s="48"/>
      <c r="AV16" s="73">
        <f t="shared" si="17"/>
        <v>0</v>
      </c>
      <c r="AW16" s="48"/>
      <c r="AX16" s="73">
        <f t="shared" si="18"/>
        <v>0</v>
      </c>
      <c r="AZ16" s="48"/>
      <c r="BA16" s="73">
        <f t="shared" si="24"/>
        <v>0</v>
      </c>
      <c r="BB16" s="48"/>
      <c r="BC16" s="73">
        <f t="shared" si="25"/>
        <v>0</v>
      </c>
      <c r="BD16" s="48"/>
      <c r="BE16" s="73">
        <f t="shared" si="26"/>
        <v>0</v>
      </c>
      <c r="BF16" s="48"/>
      <c r="BG16" s="73">
        <f t="shared" si="27"/>
        <v>0</v>
      </c>
      <c r="BI16" s="48"/>
      <c r="BJ16" s="73">
        <f t="shared" si="19"/>
        <v>0</v>
      </c>
      <c r="BK16" s="48"/>
      <c r="BL16" s="73">
        <f t="shared" si="28"/>
        <v>0</v>
      </c>
      <c r="BM16" s="48"/>
      <c r="BN16" s="73">
        <f t="shared" si="29"/>
        <v>0</v>
      </c>
      <c r="BO16" s="48"/>
      <c r="BP16" s="73">
        <f t="shared" si="30"/>
        <v>0</v>
      </c>
      <c r="BR16" s="48"/>
      <c r="BS16" s="73">
        <f t="shared" si="31"/>
        <v>0</v>
      </c>
      <c r="BT16" s="48"/>
      <c r="BU16" s="73">
        <f t="shared" si="32"/>
        <v>0</v>
      </c>
      <c r="BW16" s="48"/>
      <c r="BX16" s="73">
        <f t="shared" si="33"/>
        <v>0</v>
      </c>
      <c r="BZ16" s="48"/>
      <c r="CA16" s="73">
        <f t="shared" si="34"/>
        <v>0</v>
      </c>
    </row>
    <row r="17" spans="1:79" ht="15.75" customHeight="1" thickBot="1">
      <c r="A17" s="24">
        <v>11</v>
      </c>
      <c r="B17" s="22"/>
      <c r="C17" s="61"/>
      <c r="D17" s="60"/>
      <c r="E17" s="70">
        <f t="shared" si="20"/>
        <v>0</v>
      </c>
      <c r="F17" s="70">
        <f t="shared" si="21"/>
        <v>0</v>
      </c>
      <c r="G17" s="71">
        <f t="shared" si="22"/>
        <v>0</v>
      </c>
      <c r="H17" s="71">
        <f t="shared" si="23"/>
        <v>0</v>
      </c>
      <c r="I17" s="72">
        <f t="shared" si="0"/>
        <v>0</v>
      </c>
      <c r="J17" s="150"/>
      <c r="K17" s="48"/>
      <c r="L17" s="73">
        <f t="shared" si="1"/>
        <v>0</v>
      </c>
      <c r="M17" s="48"/>
      <c r="N17" s="73">
        <f t="shared" si="2"/>
        <v>0</v>
      </c>
      <c r="P17" s="48"/>
      <c r="Q17" s="73">
        <f t="shared" si="3"/>
        <v>0</v>
      </c>
      <c r="R17" s="48"/>
      <c r="S17" s="73">
        <f t="shared" si="4"/>
        <v>0</v>
      </c>
      <c r="T17" s="48"/>
      <c r="U17" s="73">
        <f t="shared" si="5"/>
        <v>0</v>
      </c>
      <c r="V17" s="48"/>
      <c r="W17" s="73">
        <f t="shared" si="6"/>
        <v>0</v>
      </c>
      <c r="Y17" s="48"/>
      <c r="Z17" s="73">
        <f t="shared" si="7"/>
        <v>0</v>
      </c>
      <c r="AA17" s="48"/>
      <c r="AB17" s="73">
        <f t="shared" si="8"/>
        <v>0</v>
      </c>
      <c r="AC17" s="48"/>
      <c r="AD17" s="73">
        <f t="shared" si="9"/>
        <v>0</v>
      </c>
      <c r="AE17" s="48"/>
      <c r="AF17" s="73">
        <f t="shared" si="10"/>
        <v>0</v>
      </c>
      <c r="AG17" s="2"/>
      <c r="AH17" s="48"/>
      <c r="AI17" s="73">
        <f t="shared" si="11"/>
        <v>0</v>
      </c>
      <c r="AJ17" s="48"/>
      <c r="AK17" s="73">
        <f t="shared" si="12"/>
        <v>0</v>
      </c>
      <c r="AL17" s="48"/>
      <c r="AM17" s="73">
        <f t="shared" si="13"/>
        <v>0</v>
      </c>
      <c r="AN17" s="48"/>
      <c r="AO17" s="73">
        <f t="shared" si="14"/>
        <v>0</v>
      </c>
      <c r="AP17" s="2"/>
      <c r="AQ17" s="48"/>
      <c r="AR17" s="73">
        <f t="shared" si="15"/>
        <v>0</v>
      </c>
      <c r="AS17" s="48"/>
      <c r="AT17" s="73">
        <f t="shared" si="16"/>
        <v>0</v>
      </c>
      <c r="AU17" s="48"/>
      <c r="AV17" s="73">
        <f t="shared" si="17"/>
        <v>0</v>
      </c>
      <c r="AW17" s="48"/>
      <c r="AX17" s="73">
        <f t="shared" si="18"/>
        <v>0</v>
      </c>
      <c r="AZ17" s="48"/>
      <c r="BA17" s="73">
        <f t="shared" si="24"/>
        <v>0</v>
      </c>
      <c r="BB17" s="48"/>
      <c r="BC17" s="73">
        <f t="shared" si="25"/>
        <v>0</v>
      </c>
      <c r="BD17" s="48"/>
      <c r="BE17" s="73">
        <f t="shared" si="26"/>
        <v>0</v>
      </c>
      <c r="BF17" s="48"/>
      <c r="BG17" s="73">
        <f t="shared" si="27"/>
        <v>0</v>
      </c>
      <c r="BI17" s="48"/>
      <c r="BJ17" s="73">
        <f t="shared" si="19"/>
        <v>0</v>
      </c>
      <c r="BK17" s="48"/>
      <c r="BL17" s="73">
        <f t="shared" si="28"/>
        <v>0</v>
      </c>
      <c r="BM17" s="48"/>
      <c r="BN17" s="73">
        <f t="shared" si="29"/>
        <v>0</v>
      </c>
      <c r="BO17" s="48"/>
      <c r="BP17" s="73">
        <f t="shared" si="30"/>
        <v>0</v>
      </c>
      <c r="BR17" s="48"/>
      <c r="BS17" s="73">
        <f t="shared" si="31"/>
        <v>0</v>
      </c>
      <c r="BT17" s="48"/>
      <c r="BU17" s="73">
        <f t="shared" si="32"/>
        <v>0</v>
      </c>
      <c r="BW17" s="48"/>
      <c r="BX17" s="73">
        <f t="shared" si="33"/>
        <v>0</v>
      </c>
      <c r="BZ17" s="48"/>
      <c r="CA17" s="73">
        <f t="shared" si="34"/>
        <v>0</v>
      </c>
    </row>
    <row r="18" spans="1:79" ht="15.75" customHeight="1" thickBot="1">
      <c r="A18" s="21">
        <v>12</v>
      </c>
      <c r="C18" s="44"/>
      <c r="D18" s="59"/>
      <c r="E18" s="70">
        <f t="shared" si="20"/>
        <v>0</v>
      </c>
      <c r="F18" s="70">
        <f t="shared" si="21"/>
        <v>0</v>
      </c>
      <c r="G18" s="71">
        <f t="shared" si="22"/>
        <v>0</v>
      </c>
      <c r="H18" s="71">
        <f t="shared" si="23"/>
        <v>0</v>
      </c>
      <c r="I18" s="72">
        <f t="shared" si="0"/>
        <v>0</v>
      </c>
      <c r="J18" s="150"/>
      <c r="K18" s="48"/>
      <c r="L18" s="73">
        <f t="shared" si="1"/>
        <v>0</v>
      </c>
      <c r="M18" s="48"/>
      <c r="N18" s="73">
        <f t="shared" si="2"/>
        <v>0</v>
      </c>
      <c r="P18" s="48"/>
      <c r="Q18" s="73">
        <f t="shared" si="3"/>
        <v>0</v>
      </c>
      <c r="R18" s="48"/>
      <c r="S18" s="73">
        <f t="shared" si="4"/>
        <v>0</v>
      </c>
      <c r="T18" s="48"/>
      <c r="U18" s="73">
        <f t="shared" si="5"/>
        <v>0</v>
      </c>
      <c r="V18" s="48"/>
      <c r="W18" s="73">
        <f t="shared" si="6"/>
        <v>0</v>
      </c>
      <c r="Y18" s="48"/>
      <c r="Z18" s="73">
        <f t="shared" si="7"/>
        <v>0</v>
      </c>
      <c r="AA18" s="48"/>
      <c r="AB18" s="73">
        <f t="shared" si="8"/>
        <v>0</v>
      </c>
      <c r="AC18" s="48"/>
      <c r="AD18" s="73">
        <f t="shared" si="9"/>
        <v>0</v>
      </c>
      <c r="AE18" s="48"/>
      <c r="AF18" s="73">
        <f t="shared" si="10"/>
        <v>0</v>
      </c>
      <c r="AG18" s="2"/>
      <c r="AH18" s="48"/>
      <c r="AI18" s="73">
        <f t="shared" si="11"/>
        <v>0</v>
      </c>
      <c r="AJ18" s="48"/>
      <c r="AK18" s="73">
        <f t="shared" si="12"/>
        <v>0</v>
      </c>
      <c r="AL18" s="48"/>
      <c r="AM18" s="73">
        <f t="shared" si="13"/>
        <v>0</v>
      </c>
      <c r="AN18" s="48"/>
      <c r="AO18" s="73">
        <f t="shared" si="14"/>
        <v>0</v>
      </c>
      <c r="AP18" s="2"/>
      <c r="AQ18" s="48"/>
      <c r="AR18" s="73">
        <f t="shared" si="15"/>
        <v>0</v>
      </c>
      <c r="AS18" s="48"/>
      <c r="AT18" s="73">
        <f t="shared" si="16"/>
        <v>0</v>
      </c>
      <c r="AU18" s="48"/>
      <c r="AV18" s="73">
        <f t="shared" si="17"/>
        <v>0</v>
      </c>
      <c r="AW18" s="48"/>
      <c r="AX18" s="73">
        <f t="shared" si="18"/>
        <v>0</v>
      </c>
      <c r="AZ18" s="48"/>
      <c r="BA18" s="73">
        <f t="shared" si="24"/>
        <v>0</v>
      </c>
      <c r="BB18" s="48"/>
      <c r="BC18" s="73">
        <f t="shared" si="25"/>
        <v>0</v>
      </c>
      <c r="BD18" s="48"/>
      <c r="BE18" s="73">
        <f t="shared" si="26"/>
        <v>0</v>
      </c>
      <c r="BF18" s="48"/>
      <c r="BG18" s="73">
        <f t="shared" si="27"/>
        <v>0</v>
      </c>
      <c r="BI18" s="48"/>
      <c r="BJ18" s="73">
        <f t="shared" si="19"/>
        <v>0</v>
      </c>
      <c r="BK18" s="48"/>
      <c r="BL18" s="73">
        <f t="shared" si="28"/>
        <v>0</v>
      </c>
      <c r="BM18" s="48"/>
      <c r="BN18" s="73">
        <f t="shared" si="29"/>
        <v>0</v>
      </c>
      <c r="BO18" s="48"/>
      <c r="BP18" s="73">
        <f t="shared" si="30"/>
        <v>0</v>
      </c>
      <c r="BR18" s="48"/>
      <c r="BS18" s="73">
        <f t="shared" si="31"/>
        <v>0</v>
      </c>
      <c r="BT18" s="48"/>
      <c r="BU18" s="73">
        <f t="shared" si="32"/>
        <v>0</v>
      </c>
      <c r="BW18" s="48"/>
      <c r="BX18" s="73">
        <f t="shared" si="33"/>
        <v>0</v>
      </c>
      <c r="BZ18" s="48"/>
      <c r="CA18" s="73">
        <f t="shared" si="34"/>
        <v>0</v>
      </c>
    </row>
    <row r="19" spans="1:79" ht="15.75" customHeight="1" thickBot="1">
      <c r="A19" s="24">
        <v>13</v>
      </c>
      <c r="B19" s="22"/>
      <c r="C19" s="55"/>
      <c r="D19" s="26"/>
      <c r="E19" s="70">
        <f t="shared" si="20"/>
        <v>0</v>
      </c>
      <c r="F19" s="70">
        <f t="shared" si="21"/>
        <v>0</v>
      </c>
      <c r="G19" s="71">
        <f t="shared" si="22"/>
        <v>0</v>
      </c>
      <c r="H19" s="71">
        <f t="shared" si="23"/>
        <v>0</v>
      </c>
      <c r="I19" s="72">
        <f t="shared" si="0"/>
        <v>0</v>
      </c>
      <c r="J19" s="150"/>
      <c r="K19" s="48"/>
      <c r="L19" s="73">
        <f t="shared" si="1"/>
        <v>0</v>
      </c>
      <c r="M19" s="48"/>
      <c r="N19" s="73">
        <f t="shared" si="2"/>
        <v>0</v>
      </c>
      <c r="P19" s="48"/>
      <c r="Q19" s="73">
        <f t="shared" si="3"/>
        <v>0</v>
      </c>
      <c r="R19" s="48"/>
      <c r="S19" s="73">
        <f t="shared" si="4"/>
        <v>0</v>
      </c>
      <c r="T19" s="48"/>
      <c r="U19" s="73">
        <f t="shared" si="5"/>
        <v>0</v>
      </c>
      <c r="V19" s="48"/>
      <c r="W19" s="73">
        <f t="shared" si="6"/>
        <v>0</v>
      </c>
      <c r="Y19" s="48"/>
      <c r="Z19" s="73">
        <f t="shared" si="7"/>
        <v>0</v>
      </c>
      <c r="AA19" s="48"/>
      <c r="AB19" s="73">
        <f t="shared" si="8"/>
        <v>0</v>
      </c>
      <c r="AC19" s="48"/>
      <c r="AD19" s="73">
        <f t="shared" si="9"/>
        <v>0</v>
      </c>
      <c r="AE19" s="48"/>
      <c r="AF19" s="73">
        <f t="shared" si="10"/>
        <v>0</v>
      </c>
      <c r="AG19" s="2"/>
      <c r="AH19" s="48"/>
      <c r="AI19" s="73">
        <f t="shared" si="11"/>
        <v>0</v>
      </c>
      <c r="AJ19" s="48"/>
      <c r="AK19" s="73">
        <f t="shared" si="12"/>
        <v>0</v>
      </c>
      <c r="AL19" s="48"/>
      <c r="AM19" s="73">
        <f t="shared" si="13"/>
        <v>0</v>
      </c>
      <c r="AN19" s="48"/>
      <c r="AO19" s="73">
        <f t="shared" si="14"/>
        <v>0</v>
      </c>
      <c r="AP19" s="2"/>
      <c r="AQ19" s="48"/>
      <c r="AR19" s="73">
        <f t="shared" si="15"/>
        <v>0</v>
      </c>
      <c r="AS19" s="48"/>
      <c r="AT19" s="73">
        <f t="shared" si="16"/>
        <v>0</v>
      </c>
      <c r="AU19" s="48"/>
      <c r="AV19" s="73">
        <f t="shared" si="17"/>
        <v>0</v>
      </c>
      <c r="AW19" s="48"/>
      <c r="AX19" s="73">
        <f t="shared" si="18"/>
        <v>0</v>
      </c>
      <c r="AZ19" s="48"/>
      <c r="BA19" s="73">
        <f t="shared" si="24"/>
        <v>0</v>
      </c>
      <c r="BB19" s="48"/>
      <c r="BC19" s="73">
        <f t="shared" si="25"/>
        <v>0</v>
      </c>
      <c r="BD19" s="48"/>
      <c r="BE19" s="73">
        <f t="shared" si="26"/>
        <v>0</v>
      </c>
      <c r="BF19" s="48"/>
      <c r="BG19" s="73">
        <f t="shared" si="27"/>
        <v>0</v>
      </c>
      <c r="BI19" s="48"/>
      <c r="BJ19" s="73">
        <f t="shared" si="19"/>
        <v>0</v>
      </c>
      <c r="BK19" s="48"/>
      <c r="BL19" s="73">
        <f t="shared" si="28"/>
        <v>0</v>
      </c>
      <c r="BM19" s="48"/>
      <c r="BN19" s="73">
        <f t="shared" si="29"/>
        <v>0</v>
      </c>
      <c r="BO19" s="48"/>
      <c r="BP19" s="73">
        <f t="shared" si="30"/>
        <v>0</v>
      </c>
      <c r="BR19" s="48"/>
      <c r="BS19" s="73">
        <f t="shared" si="31"/>
        <v>0</v>
      </c>
      <c r="BT19" s="48"/>
      <c r="BU19" s="73">
        <f t="shared" si="32"/>
        <v>0</v>
      </c>
      <c r="BW19" s="48"/>
      <c r="BX19" s="73">
        <f t="shared" si="33"/>
        <v>0</v>
      </c>
      <c r="BZ19" s="48"/>
      <c r="CA19" s="73">
        <f t="shared" si="34"/>
        <v>0</v>
      </c>
    </row>
    <row r="20" spans="1:79" ht="15.75" customHeight="1" thickBot="1">
      <c r="A20" s="21">
        <v>14</v>
      </c>
      <c r="B20" s="22"/>
      <c r="C20" s="42"/>
      <c r="D20" s="23"/>
      <c r="E20" s="70">
        <f t="shared" si="20"/>
        <v>0</v>
      </c>
      <c r="F20" s="70">
        <f t="shared" si="21"/>
        <v>0</v>
      </c>
      <c r="G20" s="71">
        <f t="shared" si="22"/>
        <v>0</v>
      </c>
      <c r="H20" s="71">
        <f t="shared" si="23"/>
        <v>0</v>
      </c>
      <c r="I20" s="72">
        <f t="shared" si="0"/>
        <v>0</v>
      </c>
      <c r="J20" s="150"/>
      <c r="K20" s="48"/>
      <c r="L20" s="73">
        <f t="shared" si="1"/>
        <v>0</v>
      </c>
      <c r="M20" s="48"/>
      <c r="N20" s="73">
        <f t="shared" si="2"/>
        <v>0</v>
      </c>
      <c r="P20" s="48"/>
      <c r="Q20" s="73">
        <f t="shared" si="3"/>
        <v>0</v>
      </c>
      <c r="R20" s="48"/>
      <c r="S20" s="73">
        <f t="shared" si="4"/>
        <v>0</v>
      </c>
      <c r="T20" s="48"/>
      <c r="U20" s="73">
        <f t="shared" si="5"/>
        <v>0</v>
      </c>
      <c r="V20" s="48"/>
      <c r="W20" s="73">
        <f t="shared" si="6"/>
        <v>0</v>
      </c>
      <c r="Y20" s="48"/>
      <c r="Z20" s="73">
        <f t="shared" si="7"/>
        <v>0</v>
      </c>
      <c r="AA20" s="48"/>
      <c r="AB20" s="73">
        <f t="shared" si="8"/>
        <v>0</v>
      </c>
      <c r="AC20" s="48"/>
      <c r="AD20" s="73">
        <f t="shared" si="9"/>
        <v>0</v>
      </c>
      <c r="AE20" s="48"/>
      <c r="AF20" s="73">
        <f t="shared" si="10"/>
        <v>0</v>
      </c>
      <c r="AG20" s="2"/>
      <c r="AH20" s="48"/>
      <c r="AI20" s="73">
        <f t="shared" si="11"/>
        <v>0</v>
      </c>
      <c r="AJ20" s="48"/>
      <c r="AK20" s="73">
        <f t="shared" si="12"/>
        <v>0</v>
      </c>
      <c r="AL20" s="48"/>
      <c r="AM20" s="73">
        <f t="shared" si="13"/>
        <v>0</v>
      </c>
      <c r="AN20" s="48"/>
      <c r="AO20" s="73">
        <f t="shared" si="14"/>
        <v>0</v>
      </c>
      <c r="AP20" s="2"/>
      <c r="AQ20" s="48"/>
      <c r="AR20" s="73">
        <f t="shared" si="15"/>
        <v>0</v>
      </c>
      <c r="AS20" s="48"/>
      <c r="AT20" s="73">
        <f t="shared" si="16"/>
        <v>0</v>
      </c>
      <c r="AU20" s="48"/>
      <c r="AV20" s="73">
        <f t="shared" si="17"/>
        <v>0</v>
      </c>
      <c r="AW20" s="48"/>
      <c r="AX20" s="73">
        <f t="shared" si="18"/>
        <v>0</v>
      </c>
      <c r="AZ20" s="48"/>
      <c r="BA20" s="73">
        <f t="shared" si="24"/>
        <v>0</v>
      </c>
      <c r="BB20" s="48"/>
      <c r="BC20" s="73">
        <f t="shared" si="25"/>
        <v>0</v>
      </c>
      <c r="BD20" s="48"/>
      <c r="BE20" s="73">
        <f t="shared" si="26"/>
        <v>0</v>
      </c>
      <c r="BF20" s="48"/>
      <c r="BG20" s="73">
        <f t="shared" si="27"/>
        <v>0</v>
      </c>
      <c r="BI20" s="48"/>
      <c r="BJ20" s="73">
        <f t="shared" si="19"/>
        <v>0</v>
      </c>
      <c r="BK20" s="48"/>
      <c r="BL20" s="73">
        <f t="shared" si="28"/>
        <v>0</v>
      </c>
      <c r="BM20" s="48"/>
      <c r="BN20" s="73">
        <f t="shared" si="29"/>
        <v>0</v>
      </c>
      <c r="BO20" s="48"/>
      <c r="BP20" s="73">
        <f t="shared" si="30"/>
        <v>0</v>
      </c>
      <c r="BR20" s="48"/>
      <c r="BS20" s="73">
        <f t="shared" si="31"/>
        <v>0</v>
      </c>
      <c r="BT20" s="48"/>
      <c r="BU20" s="73">
        <f t="shared" si="32"/>
        <v>0</v>
      </c>
      <c r="BW20" s="48"/>
      <c r="BX20" s="73">
        <f t="shared" si="33"/>
        <v>0</v>
      </c>
      <c r="BZ20" s="48"/>
      <c r="CA20" s="73">
        <f t="shared" si="34"/>
        <v>0</v>
      </c>
    </row>
    <row r="21" spans="1:79" ht="15.75" customHeight="1" thickBot="1">
      <c r="A21" s="24">
        <v>15</v>
      </c>
      <c r="C21" s="44"/>
      <c r="E21" s="70">
        <f t="shared" si="20"/>
        <v>0</v>
      </c>
      <c r="F21" s="70">
        <f t="shared" si="21"/>
        <v>0</v>
      </c>
      <c r="G21" s="71">
        <f t="shared" si="22"/>
        <v>0</v>
      </c>
      <c r="H21" s="71">
        <f t="shared" si="23"/>
        <v>0</v>
      </c>
      <c r="I21" s="72">
        <f t="shared" si="0"/>
        <v>0</v>
      </c>
      <c r="J21" s="150"/>
      <c r="K21" s="48"/>
      <c r="L21" s="73">
        <f t="shared" si="1"/>
        <v>0</v>
      </c>
      <c r="M21" s="48"/>
      <c r="N21" s="73">
        <f t="shared" si="2"/>
        <v>0</v>
      </c>
      <c r="P21" s="48"/>
      <c r="Q21" s="73">
        <f t="shared" si="3"/>
        <v>0</v>
      </c>
      <c r="R21" s="48"/>
      <c r="S21" s="73">
        <f t="shared" si="4"/>
        <v>0</v>
      </c>
      <c r="T21" s="48"/>
      <c r="U21" s="73">
        <f t="shared" si="5"/>
        <v>0</v>
      </c>
      <c r="V21" s="48"/>
      <c r="W21" s="73">
        <f t="shared" si="6"/>
        <v>0</v>
      </c>
      <c r="Y21" s="48"/>
      <c r="Z21" s="73">
        <f t="shared" si="7"/>
        <v>0</v>
      </c>
      <c r="AA21" s="48"/>
      <c r="AB21" s="73">
        <f t="shared" si="8"/>
        <v>0</v>
      </c>
      <c r="AC21" s="48"/>
      <c r="AD21" s="73">
        <f t="shared" si="9"/>
        <v>0</v>
      </c>
      <c r="AE21" s="48"/>
      <c r="AF21" s="73">
        <f t="shared" si="10"/>
        <v>0</v>
      </c>
      <c r="AG21" s="2"/>
      <c r="AH21" s="48"/>
      <c r="AI21" s="73">
        <f t="shared" si="11"/>
        <v>0</v>
      </c>
      <c r="AJ21" s="48"/>
      <c r="AK21" s="73">
        <f t="shared" si="12"/>
        <v>0</v>
      </c>
      <c r="AL21" s="48"/>
      <c r="AM21" s="73">
        <f t="shared" si="13"/>
        <v>0</v>
      </c>
      <c r="AN21" s="48"/>
      <c r="AO21" s="73">
        <f t="shared" si="14"/>
        <v>0</v>
      </c>
      <c r="AP21" s="2"/>
      <c r="AQ21" s="48"/>
      <c r="AR21" s="73">
        <f t="shared" si="15"/>
        <v>0</v>
      </c>
      <c r="AS21" s="48"/>
      <c r="AT21" s="73">
        <f t="shared" si="16"/>
        <v>0</v>
      </c>
      <c r="AU21" s="48"/>
      <c r="AV21" s="73">
        <f t="shared" si="17"/>
        <v>0</v>
      </c>
      <c r="AW21" s="48"/>
      <c r="AX21" s="73">
        <f t="shared" si="18"/>
        <v>0</v>
      </c>
      <c r="AZ21" s="48"/>
      <c r="BA21" s="73">
        <f t="shared" si="24"/>
        <v>0</v>
      </c>
      <c r="BB21" s="48"/>
      <c r="BC21" s="73">
        <f t="shared" si="25"/>
        <v>0</v>
      </c>
      <c r="BD21" s="48"/>
      <c r="BE21" s="73">
        <f t="shared" si="26"/>
        <v>0</v>
      </c>
      <c r="BF21" s="48"/>
      <c r="BG21" s="73">
        <f t="shared" si="27"/>
        <v>0</v>
      </c>
      <c r="BI21" s="48"/>
      <c r="BJ21" s="73">
        <f t="shared" si="19"/>
        <v>0</v>
      </c>
      <c r="BK21" s="48"/>
      <c r="BL21" s="73">
        <f t="shared" si="28"/>
        <v>0</v>
      </c>
      <c r="BM21" s="48"/>
      <c r="BN21" s="73">
        <f t="shared" si="29"/>
        <v>0</v>
      </c>
      <c r="BO21" s="48"/>
      <c r="BP21" s="73">
        <f t="shared" si="30"/>
        <v>0</v>
      </c>
      <c r="BR21" s="48"/>
      <c r="BS21" s="73">
        <f t="shared" si="31"/>
        <v>0</v>
      </c>
      <c r="BT21" s="48"/>
      <c r="BU21" s="73">
        <f t="shared" si="32"/>
        <v>0</v>
      </c>
      <c r="BW21" s="48"/>
      <c r="BX21" s="73">
        <f t="shared" si="33"/>
        <v>0</v>
      </c>
      <c r="BZ21" s="48"/>
      <c r="CA21" s="73">
        <f t="shared" si="34"/>
        <v>0</v>
      </c>
    </row>
    <row r="22" spans="1:79" ht="15.75" customHeight="1" thickBot="1">
      <c r="A22" s="21">
        <v>16</v>
      </c>
      <c r="B22" s="41"/>
      <c r="C22" s="62"/>
      <c r="D22" s="43"/>
      <c r="E22" s="70">
        <f t="shared" si="20"/>
        <v>0</v>
      </c>
      <c r="F22" s="70">
        <f t="shared" si="21"/>
        <v>0</v>
      </c>
      <c r="G22" s="71">
        <f t="shared" si="22"/>
        <v>0</v>
      </c>
      <c r="H22" s="71">
        <f t="shared" si="23"/>
        <v>0</v>
      </c>
      <c r="I22" s="72">
        <f t="shared" si="0"/>
        <v>0</v>
      </c>
      <c r="J22" s="150"/>
      <c r="K22" s="48"/>
      <c r="L22" s="73">
        <f t="shared" si="1"/>
        <v>0</v>
      </c>
      <c r="M22" s="48"/>
      <c r="N22" s="73">
        <f t="shared" si="2"/>
        <v>0</v>
      </c>
      <c r="P22" s="48"/>
      <c r="Q22" s="73">
        <f t="shared" si="3"/>
        <v>0</v>
      </c>
      <c r="R22" s="48"/>
      <c r="S22" s="73">
        <f t="shared" si="4"/>
        <v>0</v>
      </c>
      <c r="T22" s="48"/>
      <c r="U22" s="73">
        <f t="shared" si="5"/>
        <v>0</v>
      </c>
      <c r="V22" s="48"/>
      <c r="W22" s="73">
        <f t="shared" si="6"/>
        <v>0</v>
      </c>
      <c r="Y22" s="48"/>
      <c r="Z22" s="73">
        <f t="shared" si="7"/>
        <v>0</v>
      </c>
      <c r="AA22" s="48"/>
      <c r="AB22" s="73">
        <f t="shared" si="8"/>
        <v>0</v>
      </c>
      <c r="AC22" s="48"/>
      <c r="AD22" s="73">
        <f t="shared" si="9"/>
        <v>0</v>
      </c>
      <c r="AE22" s="48"/>
      <c r="AF22" s="73">
        <f t="shared" si="10"/>
        <v>0</v>
      </c>
      <c r="AG22" s="2"/>
      <c r="AH22" s="48"/>
      <c r="AI22" s="73">
        <f t="shared" si="11"/>
        <v>0</v>
      </c>
      <c r="AJ22" s="48"/>
      <c r="AK22" s="73">
        <f t="shared" si="12"/>
        <v>0</v>
      </c>
      <c r="AL22" s="48"/>
      <c r="AM22" s="73">
        <f t="shared" si="13"/>
        <v>0</v>
      </c>
      <c r="AN22" s="48"/>
      <c r="AO22" s="73">
        <f t="shared" si="14"/>
        <v>0</v>
      </c>
      <c r="AP22" s="2"/>
      <c r="AQ22" s="48"/>
      <c r="AR22" s="73">
        <f t="shared" si="15"/>
        <v>0</v>
      </c>
      <c r="AS22" s="48"/>
      <c r="AT22" s="73">
        <f t="shared" si="16"/>
        <v>0</v>
      </c>
      <c r="AU22" s="48"/>
      <c r="AV22" s="73">
        <f t="shared" si="17"/>
        <v>0</v>
      </c>
      <c r="AW22" s="48"/>
      <c r="AX22" s="73">
        <f t="shared" si="18"/>
        <v>0</v>
      </c>
      <c r="AZ22" s="48"/>
      <c r="BA22" s="73">
        <f t="shared" si="24"/>
        <v>0</v>
      </c>
      <c r="BB22" s="48"/>
      <c r="BC22" s="73">
        <f t="shared" si="25"/>
        <v>0</v>
      </c>
      <c r="BD22" s="48"/>
      <c r="BE22" s="73">
        <f t="shared" si="26"/>
        <v>0</v>
      </c>
      <c r="BF22" s="48"/>
      <c r="BG22" s="73">
        <f t="shared" si="27"/>
        <v>0</v>
      </c>
      <c r="BI22" s="48"/>
      <c r="BJ22" s="73">
        <f t="shared" si="19"/>
        <v>0</v>
      </c>
      <c r="BK22" s="48"/>
      <c r="BL22" s="73">
        <f t="shared" si="28"/>
        <v>0</v>
      </c>
      <c r="BM22" s="48"/>
      <c r="BN22" s="73">
        <f t="shared" si="29"/>
        <v>0</v>
      </c>
      <c r="BO22" s="48"/>
      <c r="BP22" s="73">
        <f t="shared" si="30"/>
        <v>0</v>
      </c>
      <c r="BR22" s="48"/>
      <c r="BS22" s="73">
        <f t="shared" si="31"/>
        <v>0</v>
      </c>
      <c r="BT22" s="48"/>
      <c r="BU22" s="73">
        <f t="shared" si="32"/>
        <v>0</v>
      </c>
      <c r="BW22" s="48"/>
      <c r="BX22" s="73">
        <f t="shared" si="33"/>
        <v>0</v>
      </c>
      <c r="BZ22" s="48"/>
      <c r="CA22" s="73">
        <f t="shared" si="34"/>
        <v>0</v>
      </c>
    </row>
    <row r="23" spans="1:79" ht="15.75" customHeight="1" thickBot="1">
      <c r="A23" s="24">
        <v>17</v>
      </c>
      <c r="B23" s="39"/>
      <c r="C23" s="47"/>
      <c r="D23" s="56"/>
      <c r="E23" s="70">
        <f t="shared" si="20"/>
        <v>0</v>
      </c>
      <c r="F23" s="70">
        <f t="shared" si="21"/>
        <v>0</v>
      </c>
      <c r="G23" s="71">
        <f t="shared" si="22"/>
        <v>0</v>
      </c>
      <c r="H23" s="71">
        <f t="shared" si="23"/>
        <v>0</v>
      </c>
      <c r="I23" s="72">
        <f t="shared" si="0"/>
        <v>0</v>
      </c>
      <c r="J23" s="150"/>
      <c r="K23" s="48"/>
      <c r="L23" s="73">
        <f t="shared" si="1"/>
        <v>0</v>
      </c>
      <c r="M23" s="48"/>
      <c r="N23" s="73">
        <f t="shared" si="2"/>
        <v>0</v>
      </c>
      <c r="P23" s="48"/>
      <c r="Q23" s="73">
        <f t="shared" si="3"/>
        <v>0</v>
      </c>
      <c r="R23" s="48"/>
      <c r="S23" s="73">
        <f t="shared" si="4"/>
        <v>0</v>
      </c>
      <c r="T23" s="48"/>
      <c r="U23" s="73">
        <f t="shared" si="5"/>
        <v>0</v>
      </c>
      <c r="V23" s="48"/>
      <c r="W23" s="73">
        <f t="shared" si="6"/>
        <v>0</v>
      </c>
      <c r="Y23" s="48"/>
      <c r="Z23" s="73">
        <f t="shared" si="7"/>
        <v>0</v>
      </c>
      <c r="AA23" s="48"/>
      <c r="AB23" s="73">
        <f t="shared" si="8"/>
        <v>0</v>
      </c>
      <c r="AC23" s="48"/>
      <c r="AD23" s="73">
        <f t="shared" si="9"/>
        <v>0</v>
      </c>
      <c r="AE23" s="48"/>
      <c r="AF23" s="73">
        <f t="shared" si="10"/>
        <v>0</v>
      </c>
      <c r="AG23" s="2"/>
      <c r="AH23" s="48"/>
      <c r="AI23" s="73">
        <f t="shared" si="11"/>
        <v>0</v>
      </c>
      <c r="AJ23" s="48"/>
      <c r="AK23" s="73">
        <f t="shared" si="12"/>
        <v>0</v>
      </c>
      <c r="AL23" s="48"/>
      <c r="AM23" s="73">
        <f t="shared" si="13"/>
        <v>0</v>
      </c>
      <c r="AN23" s="48"/>
      <c r="AO23" s="73">
        <f t="shared" si="14"/>
        <v>0</v>
      </c>
      <c r="AP23" s="2"/>
      <c r="AQ23" s="48"/>
      <c r="AR23" s="73">
        <f t="shared" si="15"/>
        <v>0</v>
      </c>
      <c r="AS23" s="48"/>
      <c r="AT23" s="73">
        <f t="shared" si="16"/>
        <v>0</v>
      </c>
      <c r="AU23" s="48"/>
      <c r="AV23" s="73">
        <f t="shared" si="17"/>
        <v>0</v>
      </c>
      <c r="AW23" s="48"/>
      <c r="AX23" s="73">
        <f t="shared" si="18"/>
        <v>0</v>
      </c>
      <c r="AZ23" s="48"/>
      <c r="BA23" s="73">
        <f t="shared" si="24"/>
        <v>0</v>
      </c>
      <c r="BB23" s="48"/>
      <c r="BC23" s="73">
        <f t="shared" si="25"/>
        <v>0</v>
      </c>
      <c r="BD23" s="48"/>
      <c r="BE23" s="73">
        <f t="shared" si="26"/>
        <v>0</v>
      </c>
      <c r="BF23" s="48"/>
      <c r="BG23" s="73">
        <f t="shared" si="27"/>
        <v>0</v>
      </c>
      <c r="BI23" s="48"/>
      <c r="BJ23" s="73">
        <f t="shared" si="19"/>
        <v>0</v>
      </c>
      <c r="BK23" s="48"/>
      <c r="BL23" s="73">
        <f t="shared" si="28"/>
        <v>0</v>
      </c>
      <c r="BM23" s="48"/>
      <c r="BN23" s="73">
        <f t="shared" si="29"/>
        <v>0</v>
      </c>
      <c r="BO23" s="48"/>
      <c r="BP23" s="73">
        <f t="shared" si="30"/>
        <v>0</v>
      </c>
      <c r="BR23" s="48"/>
      <c r="BS23" s="73">
        <f t="shared" si="31"/>
        <v>0</v>
      </c>
      <c r="BT23" s="48"/>
      <c r="BU23" s="73">
        <f t="shared" si="32"/>
        <v>0</v>
      </c>
      <c r="BW23" s="48"/>
      <c r="BX23" s="73">
        <f t="shared" si="33"/>
        <v>0</v>
      </c>
      <c r="BZ23" s="48"/>
      <c r="CA23" s="73">
        <f t="shared" si="34"/>
        <v>0</v>
      </c>
    </row>
    <row r="24" spans="1:79" ht="15.75" customHeight="1" thickBot="1">
      <c r="A24" s="21">
        <v>18</v>
      </c>
      <c r="B24" s="22"/>
      <c r="C24" s="47"/>
      <c r="D24" s="23"/>
      <c r="E24" s="70">
        <f t="shared" si="20"/>
        <v>0</v>
      </c>
      <c r="F24" s="70">
        <f t="shared" si="21"/>
        <v>0</v>
      </c>
      <c r="G24" s="71">
        <f t="shared" si="22"/>
        <v>0</v>
      </c>
      <c r="H24" s="71">
        <f t="shared" si="23"/>
        <v>0</v>
      </c>
      <c r="I24" s="72">
        <f t="shared" si="0"/>
        <v>0</v>
      </c>
      <c r="J24" s="150"/>
      <c r="K24" s="48"/>
      <c r="L24" s="73">
        <f t="shared" si="1"/>
        <v>0</v>
      </c>
      <c r="M24" s="48"/>
      <c r="N24" s="73">
        <f t="shared" si="2"/>
        <v>0</v>
      </c>
      <c r="P24" s="48"/>
      <c r="Q24" s="73">
        <f t="shared" si="3"/>
        <v>0</v>
      </c>
      <c r="R24" s="48"/>
      <c r="S24" s="73">
        <f t="shared" si="4"/>
        <v>0</v>
      </c>
      <c r="T24" s="48"/>
      <c r="U24" s="73">
        <f t="shared" si="5"/>
        <v>0</v>
      </c>
      <c r="V24" s="48"/>
      <c r="W24" s="73">
        <f t="shared" si="6"/>
        <v>0</v>
      </c>
      <c r="Y24" s="48"/>
      <c r="Z24" s="73">
        <f t="shared" si="7"/>
        <v>0</v>
      </c>
      <c r="AA24" s="48"/>
      <c r="AB24" s="73">
        <f t="shared" si="8"/>
        <v>0</v>
      </c>
      <c r="AC24" s="48"/>
      <c r="AD24" s="73">
        <f t="shared" si="9"/>
        <v>0</v>
      </c>
      <c r="AE24" s="48"/>
      <c r="AF24" s="73">
        <f t="shared" si="10"/>
        <v>0</v>
      </c>
      <c r="AG24" s="2"/>
      <c r="AH24" s="48"/>
      <c r="AI24" s="73">
        <f t="shared" si="11"/>
        <v>0</v>
      </c>
      <c r="AJ24" s="48"/>
      <c r="AK24" s="73">
        <f t="shared" si="12"/>
        <v>0</v>
      </c>
      <c r="AL24" s="48"/>
      <c r="AM24" s="73">
        <f t="shared" si="13"/>
        <v>0</v>
      </c>
      <c r="AN24" s="48"/>
      <c r="AO24" s="73">
        <f t="shared" si="14"/>
        <v>0</v>
      </c>
      <c r="AP24" s="2"/>
      <c r="AQ24" s="48"/>
      <c r="AR24" s="73">
        <f t="shared" si="15"/>
        <v>0</v>
      </c>
      <c r="AS24" s="48"/>
      <c r="AT24" s="73">
        <f t="shared" si="16"/>
        <v>0</v>
      </c>
      <c r="AU24" s="48"/>
      <c r="AV24" s="73">
        <f t="shared" si="17"/>
        <v>0</v>
      </c>
      <c r="AW24" s="48"/>
      <c r="AX24" s="73">
        <f t="shared" si="18"/>
        <v>0</v>
      </c>
      <c r="AZ24" s="48"/>
      <c r="BA24" s="73">
        <f t="shared" si="24"/>
        <v>0</v>
      </c>
      <c r="BB24" s="48"/>
      <c r="BC24" s="73">
        <f t="shared" si="25"/>
        <v>0</v>
      </c>
      <c r="BD24" s="48"/>
      <c r="BE24" s="73">
        <f t="shared" si="26"/>
        <v>0</v>
      </c>
      <c r="BF24" s="48"/>
      <c r="BG24" s="73">
        <f t="shared" si="27"/>
        <v>0</v>
      </c>
      <c r="BI24" s="48"/>
      <c r="BJ24" s="73">
        <f t="shared" si="19"/>
        <v>0</v>
      </c>
      <c r="BK24" s="48"/>
      <c r="BL24" s="73">
        <f t="shared" si="28"/>
        <v>0</v>
      </c>
      <c r="BM24" s="48"/>
      <c r="BN24" s="73">
        <f t="shared" si="29"/>
        <v>0</v>
      </c>
      <c r="BO24" s="48"/>
      <c r="BP24" s="73">
        <f t="shared" si="30"/>
        <v>0</v>
      </c>
      <c r="BR24" s="48"/>
      <c r="BS24" s="73">
        <f t="shared" si="31"/>
        <v>0</v>
      </c>
      <c r="BT24" s="48"/>
      <c r="BU24" s="73">
        <f t="shared" si="32"/>
        <v>0</v>
      </c>
      <c r="BW24" s="48"/>
      <c r="BX24" s="73">
        <f t="shared" si="33"/>
        <v>0</v>
      </c>
      <c r="BZ24" s="48"/>
      <c r="CA24" s="73">
        <f t="shared" si="34"/>
        <v>0</v>
      </c>
    </row>
    <row r="25" spans="1:79" ht="15.75" customHeight="1" thickBot="1">
      <c r="A25" s="24">
        <v>19</v>
      </c>
      <c r="B25" s="67"/>
      <c r="C25" s="63"/>
      <c r="D25" s="64"/>
      <c r="E25" s="70">
        <f t="shared" si="20"/>
        <v>0</v>
      </c>
      <c r="F25" s="70">
        <f t="shared" si="21"/>
        <v>0</v>
      </c>
      <c r="G25" s="71">
        <f t="shared" si="22"/>
        <v>0</v>
      </c>
      <c r="H25" s="71">
        <f t="shared" si="23"/>
        <v>0</v>
      </c>
      <c r="I25" s="72">
        <f t="shared" si="0"/>
        <v>0</v>
      </c>
      <c r="J25" s="150"/>
      <c r="K25" s="48"/>
      <c r="L25" s="73">
        <f t="shared" si="1"/>
        <v>0</v>
      </c>
      <c r="M25" s="48"/>
      <c r="N25" s="73">
        <f t="shared" si="2"/>
        <v>0</v>
      </c>
      <c r="P25" s="48"/>
      <c r="Q25" s="73">
        <f t="shared" si="3"/>
        <v>0</v>
      </c>
      <c r="R25" s="48"/>
      <c r="S25" s="73">
        <f t="shared" si="4"/>
        <v>0</v>
      </c>
      <c r="T25" s="48"/>
      <c r="U25" s="73">
        <f t="shared" si="5"/>
        <v>0</v>
      </c>
      <c r="V25" s="48"/>
      <c r="W25" s="73">
        <f t="shared" si="6"/>
        <v>0</v>
      </c>
      <c r="Y25" s="48"/>
      <c r="Z25" s="73">
        <f t="shared" si="7"/>
        <v>0</v>
      </c>
      <c r="AA25" s="48"/>
      <c r="AB25" s="73">
        <f t="shared" si="8"/>
        <v>0</v>
      </c>
      <c r="AC25" s="48"/>
      <c r="AD25" s="73">
        <f t="shared" si="9"/>
        <v>0</v>
      </c>
      <c r="AE25" s="48"/>
      <c r="AF25" s="73">
        <f t="shared" si="10"/>
        <v>0</v>
      </c>
      <c r="AG25" s="2"/>
      <c r="AH25" s="48"/>
      <c r="AI25" s="73">
        <f t="shared" si="11"/>
        <v>0</v>
      </c>
      <c r="AJ25" s="48"/>
      <c r="AK25" s="73">
        <f t="shared" si="12"/>
        <v>0</v>
      </c>
      <c r="AL25" s="48"/>
      <c r="AM25" s="73">
        <f t="shared" si="13"/>
        <v>0</v>
      </c>
      <c r="AN25" s="48"/>
      <c r="AO25" s="73">
        <f t="shared" si="14"/>
        <v>0</v>
      </c>
      <c r="AP25" s="2"/>
      <c r="AQ25" s="48"/>
      <c r="AR25" s="73">
        <f t="shared" si="15"/>
        <v>0</v>
      </c>
      <c r="AS25" s="48"/>
      <c r="AT25" s="73">
        <f t="shared" si="16"/>
        <v>0</v>
      </c>
      <c r="AU25" s="48"/>
      <c r="AV25" s="73">
        <f t="shared" si="17"/>
        <v>0</v>
      </c>
      <c r="AW25" s="48"/>
      <c r="AX25" s="73">
        <f t="shared" si="18"/>
        <v>0</v>
      </c>
      <c r="AZ25" s="48"/>
      <c r="BA25" s="73">
        <f t="shared" si="24"/>
        <v>0</v>
      </c>
      <c r="BB25" s="48"/>
      <c r="BC25" s="73">
        <f t="shared" si="25"/>
        <v>0</v>
      </c>
      <c r="BD25" s="48"/>
      <c r="BE25" s="73">
        <f t="shared" si="26"/>
        <v>0</v>
      </c>
      <c r="BF25" s="48"/>
      <c r="BG25" s="73">
        <f t="shared" si="27"/>
        <v>0</v>
      </c>
      <c r="BI25" s="48"/>
      <c r="BJ25" s="73">
        <f t="shared" si="19"/>
        <v>0</v>
      </c>
      <c r="BK25" s="48"/>
      <c r="BL25" s="73">
        <f t="shared" si="28"/>
        <v>0</v>
      </c>
      <c r="BM25" s="48"/>
      <c r="BN25" s="73">
        <f t="shared" si="29"/>
        <v>0</v>
      </c>
      <c r="BO25" s="48"/>
      <c r="BP25" s="73">
        <f t="shared" si="30"/>
        <v>0</v>
      </c>
      <c r="BR25" s="48"/>
      <c r="BS25" s="73">
        <f t="shared" si="31"/>
        <v>0</v>
      </c>
      <c r="BT25" s="48"/>
      <c r="BU25" s="73">
        <f t="shared" si="32"/>
        <v>0</v>
      </c>
      <c r="BW25" s="48"/>
      <c r="BX25" s="73">
        <f t="shared" si="33"/>
        <v>0</v>
      </c>
      <c r="BZ25" s="48"/>
      <c r="CA25" s="73">
        <f t="shared" si="34"/>
        <v>0</v>
      </c>
    </row>
    <row r="26" spans="1:79" ht="15.75" customHeight="1" thickBot="1">
      <c r="A26" s="21">
        <v>20</v>
      </c>
      <c r="B26" s="39"/>
      <c r="C26" s="66"/>
      <c r="D26" s="40"/>
      <c r="E26" s="70">
        <f t="shared" si="20"/>
        <v>0</v>
      </c>
      <c r="F26" s="70">
        <f t="shared" si="21"/>
        <v>0</v>
      </c>
      <c r="G26" s="71">
        <f t="shared" si="22"/>
        <v>0</v>
      </c>
      <c r="H26" s="71">
        <f t="shared" si="23"/>
        <v>0</v>
      </c>
      <c r="I26" s="72">
        <f t="shared" si="0"/>
        <v>0</v>
      </c>
      <c r="J26" s="150"/>
      <c r="K26" s="48"/>
      <c r="L26" s="73">
        <f t="shared" si="1"/>
        <v>0</v>
      </c>
      <c r="M26" s="48"/>
      <c r="N26" s="73">
        <f t="shared" si="2"/>
        <v>0</v>
      </c>
      <c r="P26" s="48"/>
      <c r="Q26" s="73">
        <f t="shared" si="3"/>
        <v>0</v>
      </c>
      <c r="R26" s="48"/>
      <c r="S26" s="73">
        <f t="shared" si="4"/>
        <v>0</v>
      </c>
      <c r="T26" s="48"/>
      <c r="U26" s="73">
        <f t="shared" si="5"/>
        <v>0</v>
      </c>
      <c r="V26" s="48"/>
      <c r="W26" s="73">
        <f t="shared" si="6"/>
        <v>0</v>
      </c>
      <c r="Y26" s="48"/>
      <c r="Z26" s="73">
        <f t="shared" si="7"/>
        <v>0</v>
      </c>
      <c r="AA26" s="48"/>
      <c r="AB26" s="73">
        <f t="shared" si="8"/>
        <v>0</v>
      </c>
      <c r="AC26" s="48"/>
      <c r="AD26" s="73">
        <f t="shared" si="9"/>
        <v>0</v>
      </c>
      <c r="AE26" s="48"/>
      <c r="AF26" s="73">
        <f t="shared" si="10"/>
        <v>0</v>
      </c>
      <c r="AG26" s="2"/>
      <c r="AH26" s="48"/>
      <c r="AI26" s="73">
        <f t="shared" si="11"/>
        <v>0</v>
      </c>
      <c r="AJ26" s="48"/>
      <c r="AK26" s="73">
        <f t="shared" si="12"/>
        <v>0</v>
      </c>
      <c r="AL26" s="48"/>
      <c r="AM26" s="73">
        <f t="shared" si="13"/>
        <v>0</v>
      </c>
      <c r="AN26" s="48"/>
      <c r="AO26" s="73">
        <f t="shared" si="14"/>
        <v>0</v>
      </c>
      <c r="AP26" s="2"/>
      <c r="AQ26" s="48"/>
      <c r="AR26" s="73">
        <f t="shared" si="15"/>
        <v>0</v>
      </c>
      <c r="AS26" s="48"/>
      <c r="AT26" s="73">
        <f t="shared" si="16"/>
        <v>0</v>
      </c>
      <c r="AU26" s="48"/>
      <c r="AV26" s="73">
        <f t="shared" si="17"/>
        <v>0</v>
      </c>
      <c r="AW26" s="48"/>
      <c r="AX26" s="73">
        <f t="shared" si="18"/>
        <v>0</v>
      </c>
      <c r="AZ26" s="48"/>
      <c r="BA26" s="73">
        <f t="shared" si="24"/>
        <v>0</v>
      </c>
      <c r="BB26" s="48"/>
      <c r="BC26" s="73">
        <f t="shared" si="25"/>
        <v>0</v>
      </c>
      <c r="BD26" s="48"/>
      <c r="BE26" s="73">
        <f t="shared" si="26"/>
        <v>0</v>
      </c>
      <c r="BF26" s="48"/>
      <c r="BG26" s="73">
        <f t="shared" si="27"/>
        <v>0</v>
      </c>
      <c r="BI26" s="48"/>
      <c r="BJ26" s="73">
        <f t="shared" si="19"/>
        <v>0</v>
      </c>
      <c r="BK26" s="48"/>
      <c r="BL26" s="73">
        <f t="shared" si="28"/>
        <v>0</v>
      </c>
      <c r="BM26" s="48"/>
      <c r="BN26" s="73">
        <f t="shared" si="29"/>
        <v>0</v>
      </c>
      <c r="BO26" s="48"/>
      <c r="BP26" s="73">
        <f t="shared" si="30"/>
        <v>0</v>
      </c>
      <c r="BR26" s="48"/>
      <c r="BS26" s="73">
        <f t="shared" si="31"/>
        <v>0</v>
      </c>
      <c r="BT26" s="48"/>
      <c r="BU26" s="73">
        <f t="shared" si="32"/>
        <v>0</v>
      </c>
      <c r="BW26" s="48"/>
      <c r="BX26" s="73">
        <f t="shared" si="33"/>
        <v>0</v>
      </c>
      <c r="BZ26" s="48"/>
      <c r="CA26" s="73">
        <f t="shared" si="34"/>
        <v>0</v>
      </c>
    </row>
    <row r="27" spans="1:79" ht="15.75" customHeight="1" thickBot="1">
      <c r="A27" s="24">
        <v>21</v>
      </c>
      <c r="B27" s="68"/>
      <c r="C27" s="44"/>
      <c r="D27" s="65"/>
      <c r="E27" s="70">
        <f t="shared" si="20"/>
        <v>0</v>
      </c>
      <c r="F27" s="70">
        <f t="shared" si="21"/>
        <v>0</v>
      </c>
      <c r="G27" s="71">
        <f t="shared" si="22"/>
        <v>0</v>
      </c>
      <c r="H27" s="71">
        <f t="shared" si="23"/>
        <v>0</v>
      </c>
      <c r="I27" s="72">
        <f t="shared" si="0"/>
        <v>0</v>
      </c>
      <c r="J27" s="150"/>
      <c r="K27" s="48"/>
      <c r="L27" s="73">
        <f t="shared" si="1"/>
        <v>0</v>
      </c>
      <c r="M27" s="48"/>
      <c r="N27" s="73">
        <f t="shared" si="2"/>
        <v>0</v>
      </c>
      <c r="P27" s="48"/>
      <c r="Q27" s="73">
        <f t="shared" si="3"/>
        <v>0</v>
      </c>
      <c r="R27" s="48"/>
      <c r="S27" s="73">
        <f t="shared" si="4"/>
        <v>0</v>
      </c>
      <c r="T27" s="48"/>
      <c r="U27" s="73">
        <f t="shared" si="5"/>
        <v>0</v>
      </c>
      <c r="V27" s="48"/>
      <c r="W27" s="73">
        <f t="shared" si="6"/>
        <v>0</v>
      </c>
      <c r="Y27" s="48"/>
      <c r="Z27" s="73">
        <f t="shared" si="7"/>
        <v>0</v>
      </c>
      <c r="AA27" s="48"/>
      <c r="AB27" s="73">
        <f t="shared" si="8"/>
        <v>0</v>
      </c>
      <c r="AC27" s="48"/>
      <c r="AD27" s="73">
        <f t="shared" si="9"/>
        <v>0</v>
      </c>
      <c r="AE27" s="48"/>
      <c r="AF27" s="73">
        <f t="shared" si="10"/>
        <v>0</v>
      </c>
      <c r="AG27" s="2"/>
      <c r="AH27" s="48"/>
      <c r="AI27" s="73">
        <f t="shared" si="11"/>
        <v>0</v>
      </c>
      <c r="AJ27" s="48"/>
      <c r="AK27" s="73">
        <f t="shared" si="12"/>
        <v>0</v>
      </c>
      <c r="AL27" s="48"/>
      <c r="AM27" s="73">
        <f t="shared" si="13"/>
        <v>0</v>
      </c>
      <c r="AN27" s="48"/>
      <c r="AO27" s="73">
        <f t="shared" si="14"/>
        <v>0</v>
      </c>
      <c r="AP27" s="2"/>
      <c r="AQ27" s="48"/>
      <c r="AR27" s="73">
        <f t="shared" si="15"/>
        <v>0</v>
      </c>
      <c r="AS27" s="48"/>
      <c r="AT27" s="73">
        <f t="shared" si="16"/>
        <v>0</v>
      </c>
      <c r="AU27" s="48"/>
      <c r="AV27" s="73">
        <f t="shared" si="17"/>
        <v>0</v>
      </c>
      <c r="AW27" s="48"/>
      <c r="AX27" s="73">
        <f t="shared" si="18"/>
        <v>0</v>
      </c>
      <c r="AZ27" s="48"/>
      <c r="BA27" s="73">
        <f t="shared" si="24"/>
        <v>0</v>
      </c>
      <c r="BB27" s="48"/>
      <c r="BC27" s="73">
        <f t="shared" si="25"/>
        <v>0</v>
      </c>
      <c r="BD27" s="48"/>
      <c r="BE27" s="73">
        <f t="shared" si="26"/>
        <v>0</v>
      </c>
      <c r="BF27" s="48"/>
      <c r="BG27" s="73">
        <f t="shared" si="27"/>
        <v>0</v>
      </c>
      <c r="BI27" s="48"/>
      <c r="BJ27" s="73">
        <f t="shared" si="19"/>
        <v>0</v>
      </c>
      <c r="BK27" s="48"/>
      <c r="BL27" s="73">
        <f t="shared" si="28"/>
        <v>0</v>
      </c>
      <c r="BM27" s="48"/>
      <c r="BN27" s="73">
        <f t="shared" si="29"/>
        <v>0</v>
      </c>
      <c r="BO27" s="48"/>
      <c r="BP27" s="73">
        <f t="shared" si="30"/>
        <v>0</v>
      </c>
      <c r="BR27" s="48"/>
      <c r="BS27" s="73">
        <f t="shared" si="31"/>
        <v>0</v>
      </c>
      <c r="BT27" s="48"/>
      <c r="BU27" s="73">
        <f t="shared" si="32"/>
        <v>0</v>
      </c>
      <c r="BW27" s="48"/>
      <c r="BX27" s="73">
        <f t="shared" si="33"/>
        <v>0</v>
      </c>
      <c r="BZ27" s="48"/>
      <c r="CA27" s="73">
        <f t="shared" si="34"/>
        <v>0</v>
      </c>
    </row>
    <row r="28" spans="1:79" ht="15.75" customHeight="1" thickBot="1">
      <c r="A28" s="21">
        <v>22</v>
      </c>
      <c r="B28" s="22"/>
      <c r="C28" s="62"/>
      <c r="D28" s="23"/>
      <c r="E28" s="70">
        <f t="shared" si="20"/>
        <v>0</v>
      </c>
      <c r="F28" s="70">
        <f t="shared" si="21"/>
        <v>0</v>
      </c>
      <c r="G28" s="71">
        <f t="shared" si="22"/>
        <v>0</v>
      </c>
      <c r="H28" s="71">
        <f t="shared" si="23"/>
        <v>0</v>
      </c>
      <c r="I28" s="72">
        <f t="shared" si="0"/>
        <v>0</v>
      </c>
      <c r="J28" s="150"/>
      <c r="K28" s="48"/>
      <c r="L28" s="73">
        <f t="shared" si="1"/>
        <v>0</v>
      </c>
      <c r="M28" s="48"/>
      <c r="N28" s="73">
        <f t="shared" si="2"/>
        <v>0</v>
      </c>
      <c r="P28" s="48"/>
      <c r="Q28" s="73">
        <f t="shared" si="3"/>
        <v>0</v>
      </c>
      <c r="R28" s="48"/>
      <c r="S28" s="73">
        <f t="shared" si="4"/>
        <v>0</v>
      </c>
      <c r="T28" s="48"/>
      <c r="U28" s="73">
        <f t="shared" si="5"/>
        <v>0</v>
      </c>
      <c r="V28" s="48"/>
      <c r="W28" s="73">
        <f t="shared" si="6"/>
        <v>0</v>
      </c>
      <c r="Y28" s="48"/>
      <c r="Z28" s="73">
        <f t="shared" si="7"/>
        <v>0</v>
      </c>
      <c r="AA28" s="48"/>
      <c r="AB28" s="73">
        <f t="shared" si="8"/>
        <v>0</v>
      </c>
      <c r="AC28" s="48"/>
      <c r="AD28" s="73">
        <f t="shared" si="9"/>
        <v>0</v>
      </c>
      <c r="AE28" s="48"/>
      <c r="AF28" s="73">
        <f t="shared" si="10"/>
        <v>0</v>
      </c>
      <c r="AG28" s="2"/>
      <c r="AH28" s="48"/>
      <c r="AI28" s="73">
        <f t="shared" si="11"/>
        <v>0</v>
      </c>
      <c r="AJ28" s="48"/>
      <c r="AK28" s="73">
        <f t="shared" si="12"/>
        <v>0</v>
      </c>
      <c r="AL28" s="48"/>
      <c r="AM28" s="73">
        <f t="shared" si="13"/>
        <v>0</v>
      </c>
      <c r="AN28" s="48"/>
      <c r="AO28" s="73">
        <f t="shared" si="14"/>
        <v>0</v>
      </c>
      <c r="AP28" s="2"/>
      <c r="AQ28" s="48"/>
      <c r="AR28" s="73">
        <f t="shared" si="15"/>
        <v>0</v>
      </c>
      <c r="AS28" s="48"/>
      <c r="AT28" s="73">
        <f t="shared" si="16"/>
        <v>0</v>
      </c>
      <c r="AU28" s="48"/>
      <c r="AV28" s="73">
        <f t="shared" si="17"/>
        <v>0</v>
      </c>
      <c r="AW28" s="48"/>
      <c r="AX28" s="73">
        <f t="shared" si="18"/>
        <v>0</v>
      </c>
      <c r="AZ28" s="48"/>
      <c r="BA28" s="73">
        <f t="shared" si="24"/>
        <v>0</v>
      </c>
      <c r="BB28" s="48"/>
      <c r="BC28" s="73">
        <f t="shared" si="25"/>
        <v>0</v>
      </c>
      <c r="BD28" s="48"/>
      <c r="BE28" s="73">
        <f t="shared" si="26"/>
        <v>0</v>
      </c>
      <c r="BF28" s="48"/>
      <c r="BG28" s="73">
        <f t="shared" si="27"/>
        <v>0</v>
      </c>
      <c r="BI28" s="48"/>
      <c r="BJ28" s="73">
        <f t="shared" si="19"/>
        <v>0</v>
      </c>
      <c r="BK28" s="48"/>
      <c r="BL28" s="73">
        <f t="shared" si="28"/>
        <v>0</v>
      </c>
      <c r="BM28" s="48"/>
      <c r="BN28" s="73">
        <f t="shared" si="29"/>
        <v>0</v>
      </c>
      <c r="BO28" s="48"/>
      <c r="BP28" s="73">
        <f t="shared" si="30"/>
        <v>0</v>
      </c>
      <c r="BR28" s="48"/>
      <c r="BS28" s="73">
        <f t="shared" si="31"/>
        <v>0</v>
      </c>
      <c r="BT28" s="48"/>
      <c r="BU28" s="73">
        <f t="shared" si="32"/>
        <v>0</v>
      </c>
      <c r="BW28" s="48"/>
      <c r="BX28" s="73">
        <f t="shared" si="33"/>
        <v>0</v>
      </c>
      <c r="BZ28" s="48"/>
      <c r="CA28" s="73">
        <f t="shared" si="34"/>
        <v>0</v>
      </c>
    </row>
    <row r="29" spans="1:79" ht="15.75" customHeight="1" thickBot="1">
      <c r="A29" s="24">
        <v>23</v>
      </c>
      <c r="C29" s="44"/>
      <c r="E29" s="70">
        <f t="shared" si="20"/>
        <v>0</v>
      </c>
      <c r="F29" s="70">
        <f t="shared" si="21"/>
        <v>0</v>
      </c>
      <c r="G29" s="71">
        <f t="shared" si="22"/>
        <v>0</v>
      </c>
      <c r="H29" s="71">
        <f t="shared" si="23"/>
        <v>0</v>
      </c>
      <c r="I29" s="72">
        <f t="shared" si="0"/>
        <v>0</v>
      </c>
      <c r="J29" s="150"/>
      <c r="K29" s="48"/>
      <c r="L29" s="73">
        <f t="shared" si="1"/>
        <v>0</v>
      </c>
      <c r="M29" s="48"/>
      <c r="N29" s="73">
        <f t="shared" si="2"/>
        <v>0</v>
      </c>
      <c r="P29" s="48"/>
      <c r="Q29" s="73">
        <f t="shared" si="3"/>
        <v>0</v>
      </c>
      <c r="R29" s="48"/>
      <c r="S29" s="73">
        <f t="shared" si="4"/>
        <v>0</v>
      </c>
      <c r="T29" s="48"/>
      <c r="U29" s="73">
        <f t="shared" si="5"/>
        <v>0</v>
      </c>
      <c r="V29" s="48"/>
      <c r="W29" s="73">
        <f t="shared" si="6"/>
        <v>0</v>
      </c>
      <c r="Y29" s="48"/>
      <c r="Z29" s="73">
        <f t="shared" si="7"/>
        <v>0</v>
      </c>
      <c r="AA29" s="48"/>
      <c r="AB29" s="73">
        <f t="shared" si="8"/>
        <v>0</v>
      </c>
      <c r="AC29" s="48"/>
      <c r="AD29" s="73">
        <f t="shared" si="9"/>
        <v>0</v>
      </c>
      <c r="AE29" s="48"/>
      <c r="AF29" s="73">
        <f t="shared" si="10"/>
        <v>0</v>
      </c>
      <c r="AG29" s="2"/>
      <c r="AH29" s="48"/>
      <c r="AI29" s="73">
        <f t="shared" si="11"/>
        <v>0</v>
      </c>
      <c r="AJ29" s="48"/>
      <c r="AK29" s="73">
        <f t="shared" si="12"/>
        <v>0</v>
      </c>
      <c r="AL29" s="48"/>
      <c r="AM29" s="73">
        <f t="shared" si="13"/>
        <v>0</v>
      </c>
      <c r="AN29" s="48"/>
      <c r="AO29" s="73">
        <f t="shared" si="14"/>
        <v>0</v>
      </c>
      <c r="AP29" s="2"/>
      <c r="AQ29" s="48"/>
      <c r="AR29" s="73">
        <f t="shared" si="15"/>
        <v>0</v>
      </c>
      <c r="AS29" s="48"/>
      <c r="AT29" s="73">
        <f t="shared" si="16"/>
        <v>0</v>
      </c>
      <c r="AU29" s="48"/>
      <c r="AV29" s="73">
        <f t="shared" si="17"/>
        <v>0</v>
      </c>
      <c r="AW29" s="48"/>
      <c r="AX29" s="73">
        <f t="shared" si="18"/>
        <v>0</v>
      </c>
      <c r="AZ29" s="48"/>
      <c r="BA29" s="73">
        <f t="shared" si="24"/>
        <v>0</v>
      </c>
      <c r="BB29" s="48"/>
      <c r="BC29" s="73">
        <f t="shared" si="25"/>
        <v>0</v>
      </c>
      <c r="BD29" s="48"/>
      <c r="BE29" s="73">
        <f t="shared" si="26"/>
        <v>0</v>
      </c>
      <c r="BF29" s="48"/>
      <c r="BG29" s="73">
        <f t="shared" si="27"/>
        <v>0</v>
      </c>
      <c r="BI29" s="48"/>
      <c r="BJ29" s="73">
        <f t="shared" si="19"/>
        <v>0</v>
      </c>
      <c r="BK29" s="48"/>
      <c r="BL29" s="73">
        <f t="shared" si="28"/>
        <v>0</v>
      </c>
      <c r="BM29" s="48"/>
      <c r="BN29" s="73">
        <f t="shared" si="29"/>
        <v>0</v>
      </c>
      <c r="BO29" s="48"/>
      <c r="BP29" s="73">
        <f t="shared" si="30"/>
        <v>0</v>
      </c>
      <c r="BR29" s="48"/>
      <c r="BS29" s="73">
        <f t="shared" si="31"/>
        <v>0</v>
      </c>
      <c r="BT29" s="48"/>
      <c r="BU29" s="73">
        <f t="shared" si="32"/>
        <v>0</v>
      </c>
      <c r="BW29" s="48"/>
      <c r="BX29" s="73">
        <f t="shared" si="33"/>
        <v>0</v>
      </c>
      <c r="BZ29" s="48"/>
      <c r="CA29" s="73">
        <f t="shared" si="34"/>
        <v>0</v>
      </c>
    </row>
    <row r="30" spans="1:79" ht="15.75" customHeight="1" thickBot="1">
      <c r="A30" s="21">
        <v>24</v>
      </c>
      <c r="B30" s="22"/>
      <c r="C30" s="55"/>
      <c r="D30" s="23"/>
      <c r="E30" s="70">
        <f t="shared" si="20"/>
        <v>0</v>
      </c>
      <c r="F30" s="70">
        <f t="shared" si="21"/>
        <v>0</v>
      </c>
      <c r="G30" s="71">
        <f t="shared" si="22"/>
        <v>0</v>
      </c>
      <c r="H30" s="71">
        <f t="shared" si="23"/>
        <v>0</v>
      </c>
      <c r="I30" s="72">
        <f t="shared" si="0"/>
        <v>0</v>
      </c>
      <c r="J30" s="150"/>
      <c r="K30" s="48"/>
      <c r="L30" s="73">
        <f t="shared" si="1"/>
        <v>0</v>
      </c>
      <c r="M30" s="48"/>
      <c r="N30" s="73">
        <f t="shared" si="2"/>
        <v>0</v>
      </c>
      <c r="P30" s="48"/>
      <c r="Q30" s="73">
        <f t="shared" si="3"/>
        <v>0</v>
      </c>
      <c r="R30" s="48"/>
      <c r="S30" s="73">
        <f t="shared" si="4"/>
        <v>0</v>
      </c>
      <c r="T30" s="48"/>
      <c r="U30" s="73">
        <f t="shared" si="5"/>
        <v>0</v>
      </c>
      <c r="V30" s="48"/>
      <c r="W30" s="73">
        <f t="shared" si="6"/>
        <v>0</v>
      </c>
      <c r="Y30" s="48"/>
      <c r="Z30" s="73">
        <f t="shared" si="7"/>
        <v>0</v>
      </c>
      <c r="AA30" s="48"/>
      <c r="AB30" s="73">
        <f t="shared" si="8"/>
        <v>0</v>
      </c>
      <c r="AC30" s="48"/>
      <c r="AD30" s="73">
        <f t="shared" si="9"/>
        <v>0</v>
      </c>
      <c r="AE30" s="48"/>
      <c r="AF30" s="73">
        <f t="shared" si="10"/>
        <v>0</v>
      </c>
      <c r="AG30" s="2"/>
      <c r="AH30" s="48"/>
      <c r="AI30" s="73">
        <f t="shared" si="11"/>
        <v>0</v>
      </c>
      <c r="AJ30" s="48"/>
      <c r="AK30" s="73">
        <f t="shared" si="12"/>
        <v>0</v>
      </c>
      <c r="AL30" s="48"/>
      <c r="AM30" s="73">
        <f t="shared" si="13"/>
        <v>0</v>
      </c>
      <c r="AN30" s="48"/>
      <c r="AO30" s="73">
        <f t="shared" si="14"/>
        <v>0</v>
      </c>
      <c r="AP30" s="2"/>
      <c r="AQ30" s="48"/>
      <c r="AR30" s="73">
        <f t="shared" si="15"/>
        <v>0</v>
      </c>
      <c r="AS30" s="48"/>
      <c r="AT30" s="73">
        <f t="shared" si="16"/>
        <v>0</v>
      </c>
      <c r="AU30" s="48"/>
      <c r="AV30" s="73">
        <f t="shared" si="17"/>
        <v>0</v>
      </c>
      <c r="AW30" s="48"/>
      <c r="AX30" s="73">
        <f t="shared" si="18"/>
        <v>0</v>
      </c>
      <c r="AZ30" s="48"/>
      <c r="BA30" s="73">
        <f t="shared" si="24"/>
        <v>0</v>
      </c>
      <c r="BB30" s="48"/>
      <c r="BC30" s="73">
        <f t="shared" si="25"/>
        <v>0</v>
      </c>
      <c r="BD30" s="48"/>
      <c r="BE30" s="73">
        <f t="shared" si="26"/>
        <v>0</v>
      </c>
      <c r="BF30" s="48"/>
      <c r="BG30" s="73">
        <f t="shared" si="27"/>
        <v>0</v>
      </c>
      <c r="BI30" s="48"/>
      <c r="BJ30" s="73">
        <f t="shared" si="19"/>
        <v>0</v>
      </c>
      <c r="BK30" s="48"/>
      <c r="BL30" s="73">
        <f t="shared" si="28"/>
        <v>0</v>
      </c>
      <c r="BM30" s="48"/>
      <c r="BN30" s="73">
        <f t="shared" si="29"/>
        <v>0</v>
      </c>
      <c r="BO30" s="48"/>
      <c r="BP30" s="73">
        <f t="shared" si="30"/>
        <v>0</v>
      </c>
      <c r="BR30" s="48"/>
      <c r="BS30" s="73">
        <f t="shared" si="31"/>
        <v>0</v>
      </c>
      <c r="BT30" s="48"/>
      <c r="BU30" s="73">
        <f t="shared" si="32"/>
        <v>0</v>
      </c>
      <c r="BW30" s="48"/>
      <c r="BX30" s="73">
        <f t="shared" si="33"/>
        <v>0</v>
      </c>
      <c r="BZ30" s="48"/>
      <c r="CA30" s="73">
        <f t="shared" si="34"/>
        <v>0</v>
      </c>
    </row>
    <row r="31" spans="1:79" ht="15.75" customHeight="1" thickBot="1">
      <c r="A31" s="24">
        <v>25</v>
      </c>
      <c r="B31" s="22"/>
      <c r="C31" s="47"/>
      <c r="D31" s="23"/>
      <c r="E31" s="70">
        <f t="shared" si="20"/>
        <v>0</v>
      </c>
      <c r="F31" s="70">
        <f t="shared" si="21"/>
        <v>0</v>
      </c>
      <c r="G31" s="71">
        <f t="shared" si="22"/>
        <v>0</v>
      </c>
      <c r="H31" s="71">
        <f t="shared" si="23"/>
        <v>0</v>
      </c>
      <c r="I31" s="72">
        <f t="shared" si="0"/>
        <v>0</v>
      </c>
      <c r="J31" s="150"/>
      <c r="K31" s="48"/>
      <c r="L31" s="73">
        <f t="shared" si="1"/>
        <v>0</v>
      </c>
      <c r="M31" s="48"/>
      <c r="N31" s="73">
        <f t="shared" si="2"/>
        <v>0</v>
      </c>
      <c r="P31" s="48"/>
      <c r="Q31" s="73">
        <f t="shared" si="3"/>
        <v>0</v>
      </c>
      <c r="R31" s="48"/>
      <c r="S31" s="73">
        <f t="shared" si="4"/>
        <v>0</v>
      </c>
      <c r="T31" s="48"/>
      <c r="U31" s="73">
        <f t="shared" si="5"/>
        <v>0</v>
      </c>
      <c r="V31" s="48"/>
      <c r="W31" s="73">
        <f t="shared" si="6"/>
        <v>0</v>
      </c>
      <c r="Y31" s="48"/>
      <c r="Z31" s="73">
        <f t="shared" si="7"/>
        <v>0</v>
      </c>
      <c r="AA31" s="48"/>
      <c r="AB31" s="73">
        <f t="shared" si="8"/>
        <v>0</v>
      </c>
      <c r="AC31" s="48"/>
      <c r="AD31" s="73">
        <f t="shared" si="9"/>
        <v>0</v>
      </c>
      <c r="AE31" s="48"/>
      <c r="AF31" s="73">
        <f t="shared" si="10"/>
        <v>0</v>
      </c>
      <c r="AG31" s="2"/>
      <c r="AH31" s="48"/>
      <c r="AI31" s="73">
        <f t="shared" si="11"/>
        <v>0</v>
      </c>
      <c r="AJ31" s="48"/>
      <c r="AK31" s="73">
        <f t="shared" si="12"/>
        <v>0</v>
      </c>
      <c r="AL31" s="48"/>
      <c r="AM31" s="73">
        <f t="shared" si="13"/>
        <v>0</v>
      </c>
      <c r="AN31" s="48"/>
      <c r="AO31" s="73">
        <f t="shared" si="14"/>
        <v>0</v>
      </c>
      <c r="AP31" s="2"/>
      <c r="AQ31" s="48"/>
      <c r="AR31" s="73">
        <f t="shared" si="15"/>
        <v>0</v>
      </c>
      <c r="AS31" s="48"/>
      <c r="AT31" s="73">
        <f t="shared" si="16"/>
        <v>0</v>
      </c>
      <c r="AU31" s="48"/>
      <c r="AV31" s="73">
        <f t="shared" si="17"/>
        <v>0</v>
      </c>
      <c r="AW31" s="48"/>
      <c r="AX31" s="73">
        <f t="shared" si="18"/>
        <v>0</v>
      </c>
      <c r="AZ31" s="48"/>
      <c r="BA31" s="73">
        <f t="shared" si="24"/>
        <v>0</v>
      </c>
      <c r="BB31" s="48"/>
      <c r="BC31" s="73">
        <f t="shared" si="25"/>
        <v>0</v>
      </c>
      <c r="BD31" s="48"/>
      <c r="BE31" s="73">
        <f t="shared" si="26"/>
        <v>0</v>
      </c>
      <c r="BF31" s="48"/>
      <c r="BG31" s="73">
        <f t="shared" si="27"/>
        <v>0</v>
      </c>
      <c r="BI31" s="48"/>
      <c r="BJ31" s="73">
        <f t="shared" si="19"/>
        <v>0</v>
      </c>
      <c r="BK31" s="48"/>
      <c r="BL31" s="73">
        <f t="shared" si="28"/>
        <v>0</v>
      </c>
      <c r="BM31" s="48"/>
      <c r="BN31" s="73">
        <f t="shared" si="29"/>
        <v>0</v>
      </c>
      <c r="BO31" s="48"/>
      <c r="BP31" s="73">
        <f t="shared" si="30"/>
        <v>0</v>
      </c>
      <c r="BR31" s="48"/>
      <c r="BS31" s="73">
        <f t="shared" si="31"/>
        <v>0</v>
      </c>
      <c r="BT31" s="48"/>
      <c r="BU31" s="73">
        <f t="shared" si="32"/>
        <v>0</v>
      </c>
      <c r="BW31" s="48"/>
      <c r="BX31" s="73">
        <f t="shared" si="33"/>
        <v>0</v>
      </c>
      <c r="BZ31" s="48"/>
      <c r="CA31" s="73">
        <f t="shared" si="34"/>
        <v>0</v>
      </c>
    </row>
    <row r="32" spans="1:79" ht="15.75" customHeight="1" thickBot="1">
      <c r="A32" s="21">
        <v>26</v>
      </c>
      <c r="B32" s="22"/>
      <c r="C32" s="42"/>
      <c r="D32" s="23"/>
      <c r="E32" s="70">
        <f t="shared" si="20"/>
        <v>0</v>
      </c>
      <c r="F32" s="70">
        <f t="shared" si="21"/>
        <v>0</v>
      </c>
      <c r="G32" s="71">
        <f t="shared" si="22"/>
        <v>0</v>
      </c>
      <c r="H32" s="71">
        <f t="shared" si="23"/>
        <v>0</v>
      </c>
      <c r="I32" s="72">
        <f t="shared" si="0"/>
        <v>0</v>
      </c>
      <c r="J32" s="150"/>
      <c r="K32" s="48"/>
      <c r="L32" s="73">
        <f t="shared" si="1"/>
        <v>0</v>
      </c>
      <c r="M32" s="48"/>
      <c r="N32" s="73">
        <f t="shared" si="2"/>
        <v>0</v>
      </c>
      <c r="P32" s="48"/>
      <c r="Q32" s="73">
        <f t="shared" si="3"/>
        <v>0</v>
      </c>
      <c r="R32" s="48"/>
      <c r="S32" s="73">
        <f t="shared" si="4"/>
        <v>0</v>
      </c>
      <c r="T32" s="48"/>
      <c r="U32" s="73">
        <f t="shared" si="5"/>
        <v>0</v>
      </c>
      <c r="V32" s="48"/>
      <c r="W32" s="73">
        <f t="shared" si="6"/>
        <v>0</v>
      </c>
      <c r="Y32" s="48"/>
      <c r="Z32" s="73">
        <f t="shared" si="7"/>
        <v>0</v>
      </c>
      <c r="AA32" s="48"/>
      <c r="AB32" s="73">
        <f t="shared" si="8"/>
        <v>0</v>
      </c>
      <c r="AC32" s="48"/>
      <c r="AD32" s="73">
        <f t="shared" si="9"/>
        <v>0</v>
      </c>
      <c r="AE32" s="48"/>
      <c r="AF32" s="73">
        <f t="shared" si="10"/>
        <v>0</v>
      </c>
      <c r="AG32" s="2"/>
      <c r="AH32" s="48"/>
      <c r="AI32" s="73">
        <f t="shared" si="11"/>
        <v>0</v>
      </c>
      <c r="AJ32" s="48"/>
      <c r="AK32" s="73">
        <f t="shared" si="12"/>
        <v>0</v>
      </c>
      <c r="AL32" s="48"/>
      <c r="AM32" s="73">
        <f t="shared" si="13"/>
        <v>0</v>
      </c>
      <c r="AN32" s="48"/>
      <c r="AO32" s="73">
        <f t="shared" si="14"/>
        <v>0</v>
      </c>
      <c r="AP32" s="2"/>
      <c r="AQ32" s="48"/>
      <c r="AR32" s="73">
        <f t="shared" si="15"/>
        <v>0</v>
      </c>
      <c r="AS32" s="48"/>
      <c r="AT32" s="73">
        <f t="shared" si="16"/>
        <v>0</v>
      </c>
      <c r="AU32" s="48"/>
      <c r="AV32" s="73">
        <f t="shared" si="17"/>
        <v>0</v>
      </c>
      <c r="AW32" s="48"/>
      <c r="AX32" s="73">
        <f t="shared" si="18"/>
        <v>0</v>
      </c>
      <c r="AZ32" s="48"/>
      <c r="BA32" s="73">
        <f t="shared" si="24"/>
        <v>0</v>
      </c>
      <c r="BB32" s="48"/>
      <c r="BC32" s="73">
        <f t="shared" si="25"/>
        <v>0</v>
      </c>
      <c r="BD32" s="48"/>
      <c r="BE32" s="73">
        <f t="shared" si="26"/>
        <v>0</v>
      </c>
      <c r="BF32" s="48"/>
      <c r="BG32" s="73">
        <f t="shared" si="27"/>
        <v>0</v>
      </c>
      <c r="BI32" s="48"/>
      <c r="BJ32" s="73">
        <f t="shared" si="19"/>
        <v>0</v>
      </c>
      <c r="BK32" s="48"/>
      <c r="BL32" s="73">
        <f t="shared" si="28"/>
        <v>0</v>
      </c>
      <c r="BM32" s="48"/>
      <c r="BN32" s="73">
        <f t="shared" si="29"/>
        <v>0</v>
      </c>
      <c r="BO32" s="48"/>
      <c r="BP32" s="73">
        <f t="shared" si="30"/>
        <v>0</v>
      </c>
      <c r="BR32" s="48"/>
      <c r="BS32" s="73">
        <f t="shared" si="31"/>
        <v>0</v>
      </c>
      <c r="BT32" s="48"/>
      <c r="BU32" s="73">
        <f t="shared" si="32"/>
        <v>0</v>
      </c>
      <c r="BW32" s="48"/>
      <c r="BX32" s="73">
        <f t="shared" si="33"/>
        <v>0</v>
      </c>
      <c r="BZ32" s="48"/>
      <c r="CA32" s="73">
        <f t="shared" si="34"/>
        <v>0</v>
      </c>
    </row>
    <row r="33" spans="1:79" ht="15.75" customHeight="1" thickBot="1">
      <c r="A33" s="24">
        <v>27</v>
      </c>
      <c r="C33" s="44"/>
      <c r="E33" s="70">
        <f t="shared" si="20"/>
        <v>0</v>
      </c>
      <c r="F33" s="70">
        <f t="shared" si="21"/>
        <v>0</v>
      </c>
      <c r="G33" s="71">
        <f t="shared" si="22"/>
        <v>0</v>
      </c>
      <c r="H33" s="71">
        <f t="shared" si="23"/>
        <v>0</v>
      </c>
      <c r="I33" s="72">
        <f t="shared" si="0"/>
        <v>0</v>
      </c>
      <c r="J33" s="150"/>
      <c r="K33" s="48"/>
      <c r="L33" s="73">
        <f t="shared" si="1"/>
        <v>0</v>
      </c>
      <c r="M33" s="48"/>
      <c r="N33" s="73">
        <f t="shared" si="2"/>
        <v>0</v>
      </c>
      <c r="P33" s="48"/>
      <c r="Q33" s="73">
        <f t="shared" si="3"/>
        <v>0</v>
      </c>
      <c r="R33" s="48"/>
      <c r="S33" s="73">
        <f t="shared" si="4"/>
        <v>0</v>
      </c>
      <c r="T33" s="48"/>
      <c r="U33" s="73">
        <f t="shared" si="5"/>
        <v>0</v>
      </c>
      <c r="V33" s="48"/>
      <c r="W33" s="73">
        <f t="shared" si="6"/>
        <v>0</v>
      </c>
      <c r="Y33" s="48"/>
      <c r="Z33" s="73">
        <f t="shared" si="7"/>
        <v>0</v>
      </c>
      <c r="AA33" s="48"/>
      <c r="AB33" s="73">
        <f t="shared" si="8"/>
        <v>0</v>
      </c>
      <c r="AC33" s="48"/>
      <c r="AD33" s="73">
        <f t="shared" si="9"/>
        <v>0</v>
      </c>
      <c r="AE33" s="48"/>
      <c r="AF33" s="73">
        <f t="shared" si="10"/>
        <v>0</v>
      </c>
      <c r="AG33" s="2"/>
      <c r="AH33" s="48"/>
      <c r="AI33" s="73">
        <f t="shared" si="11"/>
        <v>0</v>
      </c>
      <c r="AJ33" s="48"/>
      <c r="AK33" s="73">
        <f t="shared" si="12"/>
        <v>0</v>
      </c>
      <c r="AL33" s="48"/>
      <c r="AM33" s="73">
        <f t="shared" si="13"/>
        <v>0</v>
      </c>
      <c r="AN33" s="48"/>
      <c r="AO33" s="73">
        <f t="shared" si="14"/>
        <v>0</v>
      </c>
      <c r="AP33" s="2"/>
      <c r="AQ33" s="48"/>
      <c r="AR33" s="73">
        <f t="shared" si="15"/>
        <v>0</v>
      </c>
      <c r="AS33" s="48"/>
      <c r="AT33" s="73">
        <f t="shared" si="16"/>
        <v>0</v>
      </c>
      <c r="AU33" s="48"/>
      <c r="AV33" s="73">
        <f t="shared" si="17"/>
        <v>0</v>
      </c>
      <c r="AW33" s="48"/>
      <c r="AX33" s="73">
        <f t="shared" si="18"/>
        <v>0</v>
      </c>
      <c r="AZ33" s="48"/>
      <c r="BA33" s="73">
        <f t="shared" si="24"/>
        <v>0</v>
      </c>
      <c r="BB33" s="48"/>
      <c r="BC33" s="73">
        <f t="shared" si="25"/>
        <v>0</v>
      </c>
      <c r="BD33" s="48"/>
      <c r="BE33" s="73">
        <f t="shared" si="26"/>
        <v>0</v>
      </c>
      <c r="BF33" s="48"/>
      <c r="BG33" s="73">
        <f t="shared" si="27"/>
        <v>0</v>
      </c>
      <c r="BI33" s="48"/>
      <c r="BJ33" s="73">
        <f t="shared" si="19"/>
        <v>0</v>
      </c>
      <c r="BK33" s="48"/>
      <c r="BL33" s="73">
        <f t="shared" si="28"/>
        <v>0</v>
      </c>
      <c r="BM33" s="48"/>
      <c r="BN33" s="73">
        <f t="shared" si="29"/>
        <v>0</v>
      </c>
      <c r="BO33" s="48"/>
      <c r="BP33" s="73">
        <f t="shared" si="30"/>
        <v>0</v>
      </c>
      <c r="BR33" s="48"/>
      <c r="BS33" s="73">
        <f t="shared" si="31"/>
        <v>0</v>
      </c>
      <c r="BT33" s="48"/>
      <c r="BU33" s="73">
        <f t="shared" si="32"/>
        <v>0</v>
      </c>
      <c r="BW33" s="48"/>
      <c r="BX33" s="73">
        <f t="shared" si="33"/>
        <v>0</v>
      </c>
      <c r="BZ33" s="48"/>
      <c r="CA33" s="73">
        <f t="shared" si="34"/>
        <v>0</v>
      </c>
    </row>
    <row r="34" spans="1:79" ht="15.75" customHeight="1" thickBot="1">
      <c r="A34" s="21">
        <v>28</v>
      </c>
      <c r="B34" s="41"/>
      <c r="C34" s="62"/>
      <c r="D34" s="43"/>
      <c r="E34" s="70">
        <f t="shared" si="20"/>
        <v>0</v>
      </c>
      <c r="F34" s="70">
        <f t="shared" si="21"/>
        <v>0</v>
      </c>
      <c r="G34" s="71">
        <f t="shared" si="22"/>
        <v>0</v>
      </c>
      <c r="H34" s="71">
        <f t="shared" si="23"/>
        <v>0</v>
      </c>
      <c r="I34" s="72">
        <f t="shared" si="0"/>
        <v>0</v>
      </c>
      <c r="J34" s="150"/>
      <c r="K34" s="48"/>
      <c r="L34" s="73">
        <f t="shared" si="1"/>
        <v>0</v>
      </c>
      <c r="M34" s="48"/>
      <c r="N34" s="73">
        <f t="shared" si="2"/>
        <v>0</v>
      </c>
      <c r="P34" s="48"/>
      <c r="Q34" s="73">
        <f t="shared" si="3"/>
        <v>0</v>
      </c>
      <c r="R34" s="48"/>
      <c r="S34" s="73">
        <f t="shared" si="4"/>
        <v>0</v>
      </c>
      <c r="T34" s="48"/>
      <c r="U34" s="73">
        <f t="shared" si="5"/>
        <v>0</v>
      </c>
      <c r="V34" s="48"/>
      <c r="W34" s="73">
        <f t="shared" si="6"/>
        <v>0</v>
      </c>
      <c r="Y34" s="48"/>
      <c r="Z34" s="73">
        <f t="shared" si="7"/>
        <v>0</v>
      </c>
      <c r="AA34" s="48"/>
      <c r="AB34" s="73">
        <f t="shared" si="8"/>
        <v>0</v>
      </c>
      <c r="AC34" s="48"/>
      <c r="AD34" s="73">
        <f t="shared" si="9"/>
        <v>0</v>
      </c>
      <c r="AE34" s="48"/>
      <c r="AF34" s="73">
        <f t="shared" si="10"/>
        <v>0</v>
      </c>
      <c r="AG34" s="2"/>
      <c r="AH34" s="48"/>
      <c r="AI34" s="73">
        <f t="shared" si="11"/>
        <v>0</v>
      </c>
      <c r="AJ34" s="48"/>
      <c r="AK34" s="73">
        <f t="shared" si="12"/>
        <v>0</v>
      </c>
      <c r="AL34" s="48"/>
      <c r="AM34" s="73">
        <f t="shared" si="13"/>
        <v>0</v>
      </c>
      <c r="AN34" s="48"/>
      <c r="AO34" s="73">
        <f t="shared" si="14"/>
        <v>0</v>
      </c>
      <c r="AP34" s="2"/>
      <c r="AQ34" s="48"/>
      <c r="AR34" s="73">
        <f t="shared" si="15"/>
        <v>0</v>
      </c>
      <c r="AS34" s="48"/>
      <c r="AT34" s="73">
        <f t="shared" si="16"/>
        <v>0</v>
      </c>
      <c r="AU34" s="48"/>
      <c r="AV34" s="73">
        <f t="shared" si="17"/>
        <v>0</v>
      </c>
      <c r="AW34" s="48"/>
      <c r="AX34" s="73">
        <f t="shared" si="18"/>
        <v>0</v>
      </c>
      <c r="AZ34" s="48"/>
      <c r="BA34" s="73">
        <f t="shared" si="24"/>
        <v>0</v>
      </c>
      <c r="BB34" s="48"/>
      <c r="BC34" s="73">
        <f t="shared" si="25"/>
        <v>0</v>
      </c>
      <c r="BD34" s="48"/>
      <c r="BE34" s="73">
        <f t="shared" si="26"/>
        <v>0</v>
      </c>
      <c r="BF34" s="48"/>
      <c r="BG34" s="73">
        <f t="shared" si="27"/>
        <v>0</v>
      </c>
      <c r="BI34" s="48"/>
      <c r="BJ34" s="73">
        <f t="shared" si="19"/>
        <v>0</v>
      </c>
      <c r="BK34" s="48"/>
      <c r="BL34" s="73">
        <f t="shared" si="28"/>
        <v>0</v>
      </c>
      <c r="BM34" s="48"/>
      <c r="BN34" s="73">
        <f t="shared" si="29"/>
        <v>0</v>
      </c>
      <c r="BO34" s="48"/>
      <c r="BP34" s="73">
        <f t="shared" si="30"/>
        <v>0</v>
      </c>
      <c r="BR34" s="48"/>
      <c r="BS34" s="73">
        <f t="shared" si="31"/>
        <v>0</v>
      </c>
      <c r="BT34" s="48"/>
      <c r="BU34" s="73">
        <f t="shared" si="32"/>
        <v>0</v>
      </c>
      <c r="BW34" s="48"/>
      <c r="BX34" s="73">
        <f t="shared" si="33"/>
        <v>0</v>
      </c>
      <c r="BZ34" s="48"/>
      <c r="CA34" s="73">
        <f t="shared" si="34"/>
        <v>0</v>
      </c>
    </row>
    <row r="35" spans="1:79" ht="15.75" customHeight="1" thickBot="1">
      <c r="A35" s="24">
        <v>29</v>
      </c>
      <c r="B35" s="39"/>
      <c r="C35" s="44"/>
      <c r="D35" s="40"/>
      <c r="E35" s="70">
        <f t="shared" si="20"/>
        <v>0</v>
      </c>
      <c r="F35" s="70">
        <f t="shared" si="21"/>
        <v>0</v>
      </c>
      <c r="G35" s="71">
        <f t="shared" si="22"/>
        <v>0</v>
      </c>
      <c r="H35" s="71">
        <f t="shared" si="23"/>
        <v>0</v>
      </c>
      <c r="I35" s="72">
        <f t="shared" si="0"/>
        <v>0</v>
      </c>
      <c r="J35" s="150"/>
      <c r="K35" s="48"/>
      <c r="L35" s="73">
        <f t="shared" si="1"/>
        <v>0</v>
      </c>
      <c r="M35" s="48"/>
      <c r="N35" s="73">
        <f t="shared" si="2"/>
        <v>0</v>
      </c>
      <c r="P35" s="48"/>
      <c r="Q35" s="73">
        <f t="shared" si="3"/>
        <v>0</v>
      </c>
      <c r="R35" s="48"/>
      <c r="S35" s="73">
        <f t="shared" si="4"/>
        <v>0</v>
      </c>
      <c r="T35" s="48"/>
      <c r="U35" s="73">
        <f t="shared" si="5"/>
        <v>0</v>
      </c>
      <c r="V35" s="48"/>
      <c r="W35" s="73">
        <f t="shared" si="6"/>
        <v>0</v>
      </c>
      <c r="Y35" s="48"/>
      <c r="Z35" s="73">
        <f t="shared" si="7"/>
        <v>0</v>
      </c>
      <c r="AA35" s="48"/>
      <c r="AB35" s="73">
        <f t="shared" si="8"/>
        <v>0</v>
      </c>
      <c r="AC35" s="48"/>
      <c r="AD35" s="73">
        <f t="shared" si="9"/>
        <v>0</v>
      </c>
      <c r="AE35" s="48"/>
      <c r="AF35" s="73">
        <f t="shared" si="10"/>
        <v>0</v>
      </c>
      <c r="AG35" s="2"/>
      <c r="AH35" s="48"/>
      <c r="AI35" s="73">
        <f t="shared" si="11"/>
        <v>0</v>
      </c>
      <c r="AJ35" s="48"/>
      <c r="AK35" s="73">
        <f t="shared" si="12"/>
        <v>0</v>
      </c>
      <c r="AL35" s="48"/>
      <c r="AM35" s="73">
        <f t="shared" si="13"/>
        <v>0</v>
      </c>
      <c r="AN35" s="48"/>
      <c r="AO35" s="73">
        <f t="shared" si="14"/>
        <v>0</v>
      </c>
      <c r="AP35" s="2"/>
      <c r="AQ35" s="48"/>
      <c r="AR35" s="73">
        <f t="shared" si="15"/>
        <v>0</v>
      </c>
      <c r="AS35" s="48"/>
      <c r="AT35" s="73">
        <f t="shared" si="16"/>
        <v>0</v>
      </c>
      <c r="AU35" s="48"/>
      <c r="AV35" s="73">
        <f t="shared" si="17"/>
        <v>0</v>
      </c>
      <c r="AW35" s="48"/>
      <c r="AX35" s="73">
        <f t="shared" si="18"/>
        <v>0</v>
      </c>
      <c r="AZ35" s="48"/>
      <c r="BA35" s="73">
        <f t="shared" si="24"/>
        <v>0</v>
      </c>
      <c r="BB35" s="48"/>
      <c r="BC35" s="73">
        <f t="shared" si="25"/>
        <v>0</v>
      </c>
      <c r="BD35" s="48"/>
      <c r="BE35" s="73">
        <f t="shared" si="26"/>
        <v>0</v>
      </c>
      <c r="BF35" s="48"/>
      <c r="BG35" s="73">
        <f t="shared" si="27"/>
        <v>0</v>
      </c>
      <c r="BI35" s="48"/>
      <c r="BJ35" s="73">
        <f t="shared" si="19"/>
        <v>0</v>
      </c>
      <c r="BK35" s="48"/>
      <c r="BL35" s="73">
        <f t="shared" si="28"/>
        <v>0</v>
      </c>
      <c r="BM35" s="48"/>
      <c r="BN35" s="73">
        <f t="shared" si="29"/>
        <v>0</v>
      </c>
      <c r="BO35" s="48"/>
      <c r="BP35" s="73">
        <f t="shared" si="30"/>
        <v>0</v>
      </c>
      <c r="BR35" s="48"/>
      <c r="BS35" s="73">
        <f t="shared" si="31"/>
        <v>0</v>
      </c>
      <c r="BT35" s="48"/>
      <c r="BU35" s="73">
        <f t="shared" si="32"/>
        <v>0</v>
      </c>
      <c r="BW35" s="48"/>
      <c r="BX35" s="73">
        <f t="shared" si="33"/>
        <v>0</v>
      </c>
      <c r="BZ35" s="48"/>
      <c r="CA35" s="73">
        <f t="shared" si="34"/>
        <v>0</v>
      </c>
    </row>
    <row r="36" spans="1:79" ht="15.75" customHeight="1" thickBot="1">
      <c r="A36" s="21">
        <v>30</v>
      </c>
      <c r="B36" s="39"/>
      <c r="C36" s="44"/>
      <c r="D36" s="40"/>
      <c r="E36" s="70">
        <f t="shared" si="20"/>
        <v>0</v>
      </c>
      <c r="F36" s="70">
        <f t="shared" si="21"/>
        <v>0</v>
      </c>
      <c r="G36" s="71">
        <f t="shared" si="22"/>
        <v>0</v>
      </c>
      <c r="H36" s="71">
        <f t="shared" si="23"/>
        <v>0</v>
      </c>
      <c r="I36" s="72">
        <f t="shared" si="0"/>
        <v>0</v>
      </c>
      <c r="J36" s="150"/>
      <c r="K36" s="48"/>
      <c r="L36" s="73">
        <f t="shared" si="1"/>
        <v>0</v>
      </c>
      <c r="M36" s="48"/>
      <c r="N36" s="73">
        <f t="shared" si="2"/>
        <v>0</v>
      </c>
      <c r="P36" s="48"/>
      <c r="Q36" s="73">
        <f t="shared" si="3"/>
        <v>0</v>
      </c>
      <c r="R36" s="48"/>
      <c r="S36" s="73">
        <f t="shared" si="4"/>
        <v>0</v>
      </c>
      <c r="T36" s="48"/>
      <c r="U36" s="73">
        <f t="shared" si="5"/>
        <v>0</v>
      </c>
      <c r="V36" s="48"/>
      <c r="W36" s="73">
        <f t="shared" si="6"/>
        <v>0</v>
      </c>
      <c r="Y36" s="48"/>
      <c r="Z36" s="73">
        <f t="shared" si="7"/>
        <v>0</v>
      </c>
      <c r="AA36" s="48"/>
      <c r="AB36" s="73">
        <f t="shared" si="8"/>
        <v>0</v>
      </c>
      <c r="AC36" s="48"/>
      <c r="AD36" s="73">
        <f t="shared" si="9"/>
        <v>0</v>
      </c>
      <c r="AE36" s="48"/>
      <c r="AF36" s="73">
        <f t="shared" si="10"/>
        <v>0</v>
      </c>
      <c r="AG36" s="2"/>
      <c r="AH36" s="48"/>
      <c r="AI36" s="73">
        <f t="shared" si="11"/>
        <v>0</v>
      </c>
      <c r="AJ36" s="48"/>
      <c r="AK36" s="73">
        <f t="shared" si="12"/>
        <v>0</v>
      </c>
      <c r="AL36" s="48"/>
      <c r="AM36" s="73">
        <f t="shared" si="13"/>
        <v>0</v>
      </c>
      <c r="AN36" s="48"/>
      <c r="AO36" s="73">
        <f t="shared" si="14"/>
        <v>0</v>
      </c>
      <c r="AP36" s="2"/>
      <c r="AQ36" s="48"/>
      <c r="AR36" s="73">
        <f t="shared" si="15"/>
        <v>0</v>
      </c>
      <c r="AS36" s="48"/>
      <c r="AT36" s="73">
        <f t="shared" si="16"/>
        <v>0</v>
      </c>
      <c r="AU36" s="48"/>
      <c r="AV36" s="73">
        <f t="shared" si="17"/>
        <v>0</v>
      </c>
      <c r="AW36" s="48"/>
      <c r="AX36" s="73">
        <f t="shared" si="18"/>
        <v>0</v>
      </c>
      <c r="AZ36" s="48"/>
      <c r="BA36" s="73">
        <f t="shared" si="24"/>
        <v>0</v>
      </c>
      <c r="BB36" s="48"/>
      <c r="BC36" s="73">
        <f t="shared" si="25"/>
        <v>0</v>
      </c>
      <c r="BD36" s="48"/>
      <c r="BE36" s="73">
        <f t="shared" si="26"/>
        <v>0</v>
      </c>
      <c r="BF36" s="48"/>
      <c r="BG36" s="73">
        <f t="shared" si="27"/>
        <v>0</v>
      </c>
      <c r="BI36" s="48"/>
      <c r="BJ36" s="73">
        <f t="shared" si="19"/>
        <v>0</v>
      </c>
      <c r="BK36" s="48"/>
      <c r="BL36" s="73">
        <f t="shared" si="28"/>
        <v>0</v>
      </c>
      <c r="BM36" s="48"/>
      <c r="BN36" s="73">
        <f t="shared" si="29"/>
        <v>0</v>
      </c>
      <c r="BO36" s="48"/>
      <c r="BP36" s="73">
        <f t="shared" si="30"/>
        <v>0</v>
      </c>
      <c r="BR36" s="48"/>
      <c r="BS36" s="73">
        <f t="shared" si="31"/>
        <v>0</v>
      </c>
      <c r="BT36" s="48"/>
      <c r="BU36" s="73">
        <f t="shared" si="32"/>
        <v>0</v>
      </c>
      <c r="BW36" s="48"/>
      <c r="BX36" s="73">
        <f t="shared" si="33"/>
        <v>0</v>
      </c>
      <c r="BZ36" s="48"/>
      <c r="CA36" s="73">
        <f t="shared" si="34"/>
        <v>0</v>
      </c>
    </row>
    <row r="37" spans="1:79" ht="15.75" customHeight="1" thickBot="1">
      <c r="A37" s="24">
        <v>31</v>
      </c>
      <c r="B37" s="25"/>
      <c r="C37" s="55"/>
      <c r="D37" s="26"/>
      <c r="E37" s="70">
        <f t="shared" si="20"/>
        <v>0</v>
      </c>
      <c r="F37" s="70">
        <f t="shared" si="21"/>
        <v>0</v>
      </c>
      <c r="G37" s="71">
        <f t="shared" si="22"/>
        <v>0</v>
      </c>
      <c r="H37" s="71">
        <f t="shared" si="23"/>
        <v>0</v>
      </c>
      <c r="I37" s="72">
        <f t="shared" si="0"/>
        <v>0</v>
      </c>
      <c r="J37" s="150"/>
      <c r="K37" s="48"/>
      <c r="L37" s="73">
        <f t="shared" si="1"/>
        <v>0</v>
      </c>
      <c r="M37" s="48"/>
      <c r="N37" s="73">
        <f t="shared" si="2"/>
        <v>0</v>
      </c>
      <c r="P37" s="48"/>
      <c r="Q37" s="73">
        <f t="shared" si="3"/>
        <v>0</v>
      </c>
      <c r="R37" s="48"/>
      <c r="S37" s="73">
        <f t="shared" si="4"/>
        <v>0</v>
      </c>
      <c r="T37" s="48"/>
      <c r="U37" s="73">
        <f t="shared" si="5"/>
        <v>0</v>
      </c>
      <c r="V37" s="48"/>
      <c r="W37" s="73">
        <f t="shared" si="6"/>
        <v>0</v>
      </c>
      <c r="Y37" s="48"/>
      <c r="Z37" s="73">
        <f t="shared" si="7"/>
        <v>0</v>
      </c>
      <c r="AA37" s="48"/>
      <c r="AB37" s="73">
        <f t="shared" si="8"/>
        <v>0</v>
      </c>
      <c r="AC37" s="48"/>
      <c r="AD37" s="73">
        <f t="shared" si="9"/>
        <v>0</v>
      </c>
      <c r="AE37" s="48"/>
      <c r="AF37" s="73">
        <f t="shared" si="10"/>
        <v>0</v>
      </c>
      <c r="AG37" s="2"/>
      <c r="AH37" s="48"/>
      <c r="AI37" s="73">
        <f t="shared" si="11"/>
        <v>0</v>
      </c>
      <c r="AJ37" s="48"/>
      <c r="AK37" s="73">
        <f t="shared" si="12"/>
        <v>0</v>
      </c>
      <c r="AL37" s="48"/>
      <c r="AM37" s="73">
        <f t="shared" si="13"/>
        <v>0</v>
      </c>
      <c r="AN37" s="48"/>
      <c r="AO37" s="73">
        <f t="shared" si="14"/>
        <v>0</v>
      </c>
      <c r="AP37" s="2"/>
      <c r="AQ37" s="48"/>
      <c r="AR37" s="73">
        <f t="shared" si="15"/>
        <v>0</v>
      </c>
      <c r="AS37" s="48"/>
      <c r="AT37" s="73">
        <f t="shared" si="16"/>
        <v>0</v>
      </c>
      <c r="AU37" s="48"/>
      <c r="AV37" s="73">
        <f t="shared" si="17"/>
        <v>0</v>
      </c>
      <c r="AW37" s="48"/>
      <c r="AX37" s="73">
        <f t="shared" si="18"/>
        <v>0</v>
      </c>
      <c r="AZ37" s="48"/>
      <c r="BA37" s="73">
        <f t="shared" si="24"/>
        <v>0</v>
      </c>
      <c r="BB37" s="48"/>
      <c r="BC37" s="73">
        <f t="shared" si="25"/>
        <v>0</v>
      </c>
      <c r="BD37" s="48"/>
      <c r="BE37" s="73">
        <f t="shared" si="26"/>
        <v>0</v>
      </c>
      <c r="BF37" s="48"/>
      <c r="BG37" s="73">
        <f t="shared" si="27"/>
        <v>0</v>
      </c>
      <c r="BI37" s="48"/>
      <c r="BJ37" s="73">
        <f t="shared" si="19"/>
        <v>0</v>
      </c>
      <c r="BK37" s="48"/>
      <c r="BL37" s="73">
        <f t="shared" si="28"/>
        <v>0</v>
      </c>
      <c r="BM37" s="48"/>
      <c r="BN37" s="73">
        <f t="shared" si="29"/>
        <v>0</v>
      </c>
      <c r="BO37" s="48"/>
      <c r="BP37" s="73">
        <f t="shared" si="30"/>
        <v>0</v>
      </c>
      <c r="BR37" s="48"/>
      <c r="BS37" s="73">
        <f t="shared" si="31"/>
        <v>0</v>
      </c>
      <c r="BT37" s="48"/>
      <c r="BU37" s="73">
        <f t="shared" si="32"/>
        <v>0</v>
      </c>
      <c r="BW37" s="48"/>
      <c r="BX37" s="73">
        <f t="shared" si="33"/>
        <v>0</v>
      </c>
      <c r="BZ37" s="48"/>
      <c r="CA37" s="73">
        <f t="shared" si="34"/>
        <v>0</v>
      </c>
    </row>
    <row r="38" spans="1:79" ht="15.75" customHeight="1" thickBot="1">
      <c r="A38" s="21">
        <v>32</v>
      </c>
      <c r="B38" s="22"/>
      <c r="C38" s="47"/>
      <c r="D38" s="23"/>
      <c r="E38" s="70">
        <f t="shared" si="20"/>
        <v>0</v>
      </c>
      <c r="F38" s="70">
        <f t="shared" si="21"/>
        <v>0</v>
      </c>
      <c r="G38" s="71">
        <f t="shared" si="22"/>
        <v>0</v>
      </c>
      <c r="H38" s="71">
        <f t="shared" si="23"/>
        <v>0</v>
      </c>
      <c r="I38" s="72">
        <f t="shared" si="0"/>
        <v>0</v>
      </c>
      <c r="J38" s="150"/>
      <c r="K38" s="48"/>
      <c r="L38" s="73">
        <f t="shared" si="1"/>
        <v>0</v>
      </c>
      <c r="M38" s="48"/>
      <c r="N38" s="73">
        <f t="shared" si="2"/>
        <v>0</v>
      </c>
      <c r="P38" s="48"/>
      <c r="Q38" s="73">
        <f t="shared" si="3"/>
        <v>0</v>
      </c>
      <c r="R38" s="48"/>
      <c r="S38" s="73">
        <f t="shared" si="4"/>
        <v>0</v>
      </c>
      <c r="T38" s="48"/>
      <c r="U38" s="73">
        <f t="shared" si="5"/>
        <v>0</v>
      </c>
      <c r="V38" s="48"/>
      <c r="W38" s="73">
        <f t="shared" si="6"/>
        <v>0</v>
      </c>
      <c r="Y38" s="48"/>
      <c r="Z38" s="73">
        <f t="shared" si="7"/>
        <v>0</v>
      </c>
      <c r="AA38" s="48"/>
      <c r="AB38" s="73">
        <f t="shared" si="8"/>
        <v>0</v>
      </c>
      <c r="AC38" s="48"/>
      <c r="AD38" s="73">
        <f t="shared" si="9"/>
        <v>0</v>
      </c>
      <c r="AE38" s="48"/>
      <c r="AF38" s="73">
        <f t="shared" si="10"/>
        <v>0</v>
      </c>
      <c r="AG38" s="2"/>
      <c r="AH38" s="48"/>
      <c r="AI38" s="73">
        <f t="shared" si="11"/>
        <v>0</v>
      </c>
      <c r="AJ38" s="48"/>
      <c r="AK38" s="73">
        <f t="shared" si="12"/>
        <v>0</v>
      </c>
      <c r="AL38" s="48"/>
      <c r="AM38" s="73">
        <f t="shared" si="13"/>
        <v>0</v>
      </c>
      <c r="AN38" s="48"/>
      <c r="AO38" s="73">
        <f t="shared" si="14"/>
        <v>0</v>
      </c>
      <c r="AP38" s="2"/>
      <c r="AQ38" s="48"/>
      <c r="AR38" s="73">
        <f t="shared" si="15"/>
        <v>0</v>
      </c>
      <c r="AS38" s="48"/>
      <c r="AT38" s="73">
        <f t="shared" si="16"/>
        <v>0</v>
      </c>
      <c r="AU38" s="48"/>
      <c r="AV38" s="73">
        <f t="shared" si="17"/>
        <v>0</v>
      </c>
      <c r="AW38" s="48"/>
      <c r="AX38" s="73">
        <f t="shared" si="18"/>
        <v>0</v>
      </c>
      <c r="AZ38" s="48"/>
      <c r="BA38" s="73">
        <f t="shared" si="24"/>
        <v>0</v>
      </c>
      <c r="BB38" s="48"/>
      <c r="BC38" s="73">
        <f t="shared" si="25"/>
        <v>0</v>
      </c>
      <c r="BD38" s="48"/>
      <c r="BE38" s="73">
        <f t="shared" si="26"/>
        <v>0</v>
      </c>
      <c r="BF38" s="48"/>
      <c r="BG38" s="73">
        <f t="shared" si="27"/>
        <v>0</v>
      </c>
      <c r="BI38" s="48"/>
      <c r="BJ38" s="73">
        <f t="shared" si="19"/>
        <v>0</v>
      </c>
      <c r="BK38" s="48"/>
      <c r="BL38" s="73">
        <f t="shared" si="28"/>
        <v>0</v>
      </c>
      <c r="BM38" s="48"/>
      <c r="BN38" s="73">
        <f t="shared" si="29"/>
        <v>0</v>
      </c>
      <c r="BO38" s="48"/>
      <c r="BP38" s="73">
        <f t="shared" si="30"/>
        <v>0</v>
      </c>
      <c r="BR38" s="48"/>
      <c r="BS38" s="73">
        <f t="shared" si="31"/>
        <v>0</v>
      </c>
      <c r="BT38" s="48"/>
      <c r="BU38" s="73">
        <f t="shared" si="32"/>
        <v>0</v>
      </c>
      <c r="BW38" s="48"/>
      <c r="BX38" s="73">
        <f t="shared" si="33"/>
        <v>0</v>
      </c>
      <c r="BZ38" s="48"/>
      <c r="CA38" s="73">
        <f t="shared" si="34"/>
        <v>0</v>
      </c>
    </row>
    <row r="39" spans="1:79" ht="15.75" customHeight="1" thickBot="1">
      <c r="A39" s="24">
        <v>33</v>
      </c>
      <c r="B39" s="22"/>
      <c r="C39" s="47"/>
      <c r="D39" s="23"/>
      <c r="E39" s="70">
        <f t="shared" si="20"/>
        <v>0</v>
      </c>
      <c r="F39" s="70">
        <f t="shared" si="21"/>
        <v>0</v>
      </c>
      <c r="G39" s="71">
        <f t="shared" si="22"/>
        <v>0</v>
      </c>
      <c r="H39" s="71">
        <f t="shared" si="23"/>
        <v>0</v>
      </c>
      <c r="I39" s="72">
        <f t="shared" si="0"/>
        <v>0</v>
      </c>
      <c r="J39" s="150"/>
      <c r="K39" s="48"/>
      <c r="L39" s="73">
        <f t="shared" si="1"/>
        <v>0</v>
      </c>
      <c r="M39" s="48"/>
      <c r="N39" s="73">
        <f t="shared" si="2"/>
        <v>0</v>
      </c>
      <c r="P39" s="48"/>
      <c r="Q39" s="73">
        <f t="shared" si="3"/>
        <v>0</v>
      </c>
      <c r="R39" s="48"/>
      <c r="S39" s="73">
        <f t="shared" si="4"/>
        <v>0</v>
      </c>
      <c r="T39" s="48"/>
      <c r="U39" s="73">
        <f t="shared" si="5"/>
        <v>0</v>
      </c>
      <c r="V39" s="48"/>
      <c r="W39" s="73">
        <f t="shared" si="6"/>
        <v>0</v>
      </c>
      <c r="Y39" s="48"/>
      <c r="Z39" s="73">
        <f t="shared" si="7"/>
        <v>0</v>
      </c>
      <c r="AA39" s="48"/>
      <c r="AB39" s="73">
        <f t="shared" si="8"/>
        <v>0</v>
      </c>
      <c r="AC39" s="48"/>
      <c r="AD39" s="73">
        <f t="shared" si="9"/>
        <v>0</v>
      </c>
      <c r="AE39" s="48"/>
      <c r="AF39" s="73">
        <f t="shared" si="10"/>
        <v>0</v>
      </c>
      <c r="AG39" s="2"/>
      <c r="AH39" s="48"/>
      <c r="AI39" s="73">
        <f t="shared" si="11"/>
        <v>0</v>
      </c>
      <c r="AJ39" s="48"/>
      <c r="AK39" s="73">
        <f t="shared" si="12"/>
        <v>0</v>
      </c>
      <c r="AL39" s="48"/>
      <c r="AM39" s="73">
        <f t="shared" si="13"/>
        <v>0</v>
      </c>
      <c r="AN39" s="48"/>
      <c r="AO39" s="73">
        <f t="shared" si="14"/>
        <v>0</v>
      </c>
      <c r="AP39" s="2"/>
      <c r="AQ39" s="48"/>
      <c r="AR39" s="73">
        <f t="shared" si="15"/>
        <v>0</v>
      </c>
      <c r="AS39" s="48"/>
      <c r="AT39" s="73">
        <f t="shared" si="16"/>
        <v>0</v>
      </c>
      <c r="AU39" s="48"/>
      <c r="AV39" s="73">
        <f t="shared" si="17"/>
        <v>0</v>
      </c>
      <c r="AW39" s="48"/>
      <c r="AX39" s="73">
        <f t="shared" si="18"/>
        <v>0</v>
      </c>
      <c r="AZ39" s="48"/>
      <c r="BA39" s="73">
        <f t="shared" si="24"/>
        <v>0</v>
      </c>
      <c r="BB39" s="48"/>
      <c r="BC39" s="73">
        <f t="shared" si="25"/>
        <v>0</v>
      </c>
      <c r="BD39" s="48"/>
      <c r="BE39" s="73">
        <f t="shared" si="26"/>
        <v>0</v>
      </c>
      <c r="BF39" s="48"/>
      <c r="BG39" s="73">
        <f t="shared" si="27"/>
        <v>0</v>
      </c>
      <c r="BI39" s="48"/>
      <c r="BJ39" s="73">
        <f t="shared" si="19"/>
        <v>0</v>
      </c>
      <c r="BK39" s="48"/>
      <c r="BL39" s="73">
        <f t="shared" si="28"/>
        <v>0</v>
      </c>
      <c r="BM39" s="48"/>
      <c r="BN39" s="73">
        <f t="shared" si="29"/>
        <v>0</v>
      </c>
      <c r="BO39" s="48"/>
      <c r="BP39" s="73">
        <f t="shared" si="30"/>
        <v>0</v>
      </c>
      <c r="BR39" s="48"/>
      <c r="BS39" s="73">
        <f t="shared" si="31"/>
        <v>0</v>
      </c>
      <c r="BT39" s="48"/>
      <c r="BU39" s="73">
        <f t="shared" si="32"/>
        <v>0</v>
      </c>
      <c r="BW39" s="48"/>
      <c r="BX39" s="73">
        <f t="shared" si="33"/>
        <v>0</v>
      </c>
      <c r="BZ39" s="48"/>
      <c r="CA39" s="73">
        <f t="shared" si="34"/>
        <v>0</v>
      </c>
    </row>
    <row r="40" spans="1:79" ht="15.75" customHeight="1" thickBot="1">
      <c r="A40" s="21">
        <v>34</v>
      </c>
      <c r="B40" s="22"/>
      <c r="C40" s="47"/>
      <c r="D40" s="43"/>
      <c r="E40" s="70">
        <f t="shared" si="20"/>
        <v>0</v>
      </c>
      <c r="F40" s="70">
        <f t="shared" si="21"/>
        <v>0</v>
      </c>
      <c r="G40" s="71">
        <f t="shared" si="22"/>
        <v>0</v>
      </c>
      <c r="H40" s="71">
        <f t="shared" si="23"/>
        <v>0</v>
      </c>
      <c r="I40" s="72">
        <f t="shared" si="0"/>
        <v>0</v>
      </c>
      <c r="J40" s="150"/>
      <c r="K40" s="48"/>
      <c r="L40" s="73">
        <f t="shared" si="1"/>
        <v>0</v>
      </c>
      <c r="M40" s="48"/>
      <c r="N40" s="73">
        <f t="shared" si="2"/>
        <v>0</v>
      </c>
      <c r="P40" s="48"/>
      <c r="Q40" s="73">
        <f t="shared" si="3"/>
        <v>0</v>
      </c>
      <c r="R40" s="48"/>
      <c r="S40" s="73">
        <f t="shared" si="4"/>
        <v>0</v>
      </c>
      <c r="T40" s="48"/>
      <c r="U40" s="73">
        <f t="shared" si="5"/>
        <v>0</v>
      </c>
      <c r="V40" s="48"/>
      <c r="W40" s="73">
        <f t="shared" si="6"/>
        <v>0</v>
      </c>
      <c r="Y40" s="48"/>
      <c r="Z40" s="73">
        <f t="shared" si="7"/>
        <v>0</v>
      </c>
      <c r="AA40" s="48"/>
      <c r="AB40" s="73">
        <f t="shared" si="8"/>
        <v>0</v>
      </c>
      <c r="AC40" s="48"/>
      <c r="AD40" s="73">
        <f t="shared" si="9"/>
        <v>0</v>
      </c>
      <c r="AE40" s="48"/>
      <c r="AF40" s="73">
        <f t="shared" si="10"/>
        <v>0</v>
      </c>
      <c r="AG40" s="2"/>
      <c r="AH40" s="48"/>
      <c r="AI40" s="73">
        <f t="shared" si="11"/>
        <v>0</v>
      </c>
      <c r="AJ40" s="48"/>
      <c r="AK40" s="73">
        <f t="shared" si="12"/>
        <v>0</v>
      </c>
      <c r="AL40" s="48"/>
      <c r="AM40" s="73">
        <f t="shared" si="13"/>
        <v>0</v>
      </c>
      <c r="AN40" s="48"/>
      <c r="AO40" s="73">
        <f t="shared" si="14"/>
        <v>0</v>
      </c>
      <c r="AP40" s="2"/>
      <c r="AQ40" s="48"/>
      <c r="AR40" s="73">
        <f t="shared" si="15"/>
        <v>0</v>
      </c>
      <c r="AS40" s="48"/>
      <c r="AT40" s="73">
        <f t="shared" si="16"/>
        <v>0</v>
      </c>
      <c r="AU40" s="48"/>
      <c r="AV40" s="73">
        <f t="shared" si="17"/>
        <v>0</v>
      </c>
      <c r="AW40" s="48"/>
      <c r="AX40" s="73">
        <f t="shared" si="18"/>
        <v>0</v>
      </c>
      <c r="AZ40" s="48"/>
      <c r="BA40" s="73">
        <f t="shared" si="24"/>
        <v>0</v>
      </c>
      <c r="BB40" s="48"/>
      <c r="BC40" s="73">
        <f t="shared" si="25"/>
        <v>0</v>
      </c>
      <c r="BD40" s="48"/>
      <c r="BE40" s="73">
        <f t="shared" si="26"/>
        <v>0</v>
      </c>
      <c r="BF40" s="48"/>
      <c r="BG40" s="73">
        <f t="shared" si="27"/>
        <v>0</v>
      </c>
      <c r="BI40" s="48"/>
      <c r="BJ40" s="73">
        <f t="shared" si="19"/>
        <v>0</v>
      </c>
      <c r="BK40" s="48"/>
      <c r="BL40" s="73">
        <f t="shared" si="28"/>
        <v>0</v>
      </c>
      <c r="BM40" s="48"/>
      <c r="BN40" s="73">
        <f t="shared" si="29"/>
        <v>0</v>
      </c>
      <c r="BO40" s="48"/>
      <c r="BP40" s="73">
        <f t="shared" si="30"/>
        <v>0</v>
      </c>
      <c r="BR40" s="48"/>
      <c r="BS40" s="73">
        <f t="shared" si="31"/>
        <v>0</v>
      </c>
      <c r="BT40" s="48"/>
      <c r="BU40" s="73">
        <f t="shared" si="32"/>
        <v>0</v>
      </c>
      <c r="BW40" s="48"/>
      <c r="BX40" s="73">
        <f t="shared" si="33"/>
        <v>0</v>
      </c>
      <c r="BZ40" s="48"/>
      <c r="CA40" s="73">
        <f t="shared" si="34"/>
        <v>0</v>
      </c>
    </row>
    <row r="41" spans="1:79" ht="15.75" customHeight="1" thickBot="1">
      <c r="A41" s="24">
        <v>35</v>
      </c>
      <c r="B41" s="22"/>
      <c r="C41" s="46"/>
      <c r="D41" s="40"/>
      <c r="E41" s="70">
        <f t="shared" si="20"/>
        <v>0</v>
      </c>
      <c r="F41" s="70">
        <f t="shared" si="21"/>
        <v>0</v>
      </c>
      <c r="G41" s="71">
        <f t="shared" si="22"/>
        <v>0</v>
      </c>
      <c r="H41" s="71">
        <f t="shared" si="23"/>
        <v>0</v>
      </c>
      <c r="I41" s="72">
        <f t="shared" si="0"/>
        <v>0</v>
      </c>
      <c r="J41" s="150"/>
      <c r="K41" s="48"/>
      <c r="L41" s="73">
        <f t="shared" si="1"/>
        <v>0</v>
      </c>
      <c r="M41" s="48"/>
      <c r="N41" s="73">
        <f t="shared" si="2"/>
        <v>0</v>
      </c>
      <c r="P41" s="48"/>
      <c r="Q41" s="73">
        <f t="shared" si="3"/>
        <v>0</v>
      </c>
      <c r="R41" s="48"/>
      <c r="S41" s="73">
        <f t="shared" si="4"/>
        <v>0</v>
      </c>
      <c r="T41" s="48"/>
      <c r="U41" s="73">
        <f t="shared" si="5"/>
        <v>0</v>
      </c>
      <c r="V41" s="48"/>
      <c r="W41" s="73">
        <f t="shared" si="6"/>
        <v>0</v>
      </c>
      <c r="Y41" s="48"/>
      <c r="Z41" s="73">
        <f t="shared" si="7"/>
        <v>0</v>
      </c>
      <c r="AA41" s="48"/>
      <c r="AB41" s="73">
        <f t="shared" si="8"/>
        <v>0</v>
      </c>
      <c r="AC41" s="48"/>
      <c r="AD41" s="73">
        <f t="shared" si="9"/>
        <v>0</v>
      </c>
      <c r="AE41" s="48"/>
      <c r="AF41" s="73">
        <f t="shared" si="10"/>
        <v>0</v>
      </c>
      <c r="AG41" s="2"/>
      <c r="AH41" s="48"/>
      <c r="AI41" s="73">
        <f t="shared" si="11"/>
        <v>0</v>
      </c>
      <c r="AJ41" s="48"/>
      <c r="AK41" s="73">
        <f t="shared" si="12"/>
        <v>0</v>
      </c>
      <c r="AL41" s="48"/>
      <c r="AM41" s="73">
        <f t="shared" si="13"/>
        <v>0</v>
      </c>
      <c r="AN41" s="48"/>
      <c r="AO41" s="73">
        <f t="shared" si="14"/>
        <v>0</v>
      </c>
      <c r="AP41" s="2"/>
      <c r="AQ41" s="48"/>
      <c r="AR41" s="73">
        <f t="shared" si="15"/>
        <v>0</v>
      </c>
      <c r="AS41" s="48"/>
      <c r="AT41" s="73">
        <f t="shared" si="16"/>
        <v>0</v>
      </c>
      <c r="AU41" s="48"/>
      <c r="AV41" s="73">
        <f t="shared" si="17"/>
        <v>0</v>
      </c>
      <c r="AW41" s="48"/>
      <c r="AX41" s="73">
        <f t="shared" si="18"/>
        <v>0</v>
      </c>
      <c r="AZ41" s="48"/>
      <c r="BA41" s="73">
        <f t="shared" si="24"/>
        <v>0</v>
      </c>
      <c r="BB41" s="48"/>
      <c r="BC41" s="73">
        <f t="shared" si="25"/>
        <v>0</v>
      </c>
      <c r="BD41" s="48"/>
      <c r="BE41" s="73">
        <f t="shared" si="26"/>
        <v>0</v>
      </c>
      <c r="BF41" s="48"/>
      <c r="BG41" s="73">
        <f t="shared" si="27"/>
        <v>0</v>
      </c>
      <c r="BI41" s="48"/>
      <c r="BJ41" s="73">
        <f t="shared" si="19"/>
        <v>0</v>
      </c>
      <c r="BK41" s="48"/>
      <c r="BL41" s="73">
        <f t="shared" si="28"/>
        <v>0</v>
      </c>
      <c r="BM41" s="48"/>
      <c r="BN41" s="73">
        <f t="shared" si="29"/>
        <v>0</v>
      </c>
      <c r="BO41" s="48"/>
      <c r="BP41" s="73">
        <f t="shared" si="30"/>
        <v>0</v>
      </c>
      <c r="BR41" s="48"/>
      <c r="BS41" s="73">
        <f t="shared" si="31"/>
        <v>0</v>
      </c>
      <c r="BT41" s="48"/>
      <c r="BU41" s="73">
        <f t="shared" si="32"/>
        <v>0</v>
      </c>
      <c r="BW41" s="48"/>
      <c r="BX41" s="73">
        <f t="shared" si="33"/>
        <v>0</v>
      </c>
      <c r="BZ41" s="48"/>
      <c r="CA41" s="73">
        <f t="shared" si="34"/>
        <v>0</v>
      </c>
    </row>
    <row r="42" spans="1:79" ht="15.75" customHeight="1" thickBot="1">
      <c r="A42" s="21">
        <v>36</v>
      </c>
      <c r="B42" s="22"/>
      <c r="C42" s="42"/>
      <c r="D42" s="26"/>
      <c r="E42" s="70">
        <f t="shared" si="20"/>
        <v>0</v>
      </c>
      <c r="F42" s="70">
        <f t="shared" si="21"/>
        <v>0</v>
      </c>
      <c r="G42" s="71">
        <f t="shared" si="22"/>
        <v>0</v>
      </c>
      <c r="H42" s="71">
        <f t="shared" si="23"/>
        <v>0</v>
      </c>
      <c r="I42" s="72">
        <f t="shared" si="0"/>
        <v>0</v>
      </c>
      <c r="J42" s="150"/>
      <c r="K42" s="48"/>
      <c r="L42" s="73">
        <f t="shared" si="1"/>
        <v>0</v>
      </c>
      <c r="M42" s="48"/>
      <c r="N42" s="73">
        <f t="shared" si="2"/>
        <v>0</v>
      </c>
      <c r="P42" s="48"/>
      <c r="Q42" s="73">
        <f t="shared" si="3"/>
        <v>0</v>
      </c>
      <c r="R42" s="48"/>
      <c r="S42" s="73">
        <f t="shared" si="4"/>
        <v>0</v>
      </c>
      <c r="T42" s="48"/>
      <c r="U42" s="73">
        <f t="shared" si="5"/>
        <v>0</v>
      </c>
      <c r="V42" s="48"/>
      <c r="W42" s="73">
        <f t="shared" si="6"/>
        <v>0</v>
      </c>
      <c r="Y42" s="48"/>
      <c r="Z42" s="73">
        <f t="shared" si="7"/>
        <v>0</v>
      </c>
      <c r="AA42" s="48"/>
      <c r="AB42" s="73">
        <f t="shared" si="8"/>
        <v>0</v>
      </c>
      <c r="AC42" s="48"/>
      <c r="AD42" s="73">
        <f t="shared" si="9"/>
        <v>0</v>
      </c>
      <c r="AE42" s="48"/>
      <c r="AF42" s="73">
        <f t="shared" si="10"/>
        <v>0</v>
      </c>
      <c r="AG42" s="2"/>
      <c r="AH42" s="48"/>
      <c r="AI42" s="73">
        <f t="shared" si="11"/>
        <v>0</v>
      </c>
      <c r="AJ42" s="48"/>
      <c r="AK42" s="73">
        <f t="shared" si="12"/>
        <v>0</v>
      </c>
      <c r="AL42" s="48"/>
      <c r="AM42" s="73">
        <f t="shared" si="13"/>
        <v>0</v>
      </c>
      <c r="AN42" s="48"/>
      <c r="AO42" s="73">
        <f t="shared" si="14"/>
        <v>0</v>
      </c>
      <c r="AP42" s="2"/>
      <c r="AQ42" s="48"/>
      <c r="AR42" s="73">
        <f t="shared" si="15"/>
        <v>0</v>
      </c>
      <c r="AS42" s="48"/>
      <c r="AT42" s="73">
        <f t="shared" si="16"/>
        <v>0</v>
      </c>
      <c r="AU42" s="48"/>
      <c r="AV42" s="73">
        <f t="shared" si="17"/>
        <v>0</v>
      </c>
      <c r="AW42" s="48"/>
      <c r="AX42" s="73">
        <f t="shared" si="18"/>
        <v>0</v>
      </c>
      <c r="AZ42" s="48"/>
      <c r="BA42" s="73">
        <f t="shared" si="24"/>
        <v>0</v>
      </c>
      <c r="BB42" s="48"/>
      <c r="BC42" s="73">
        <f t="shared" si="25"/>
        <v>0</v>
      </c>
      <c r="BD42" s="48"/>
      <c r="BE42" s="73">
        <f t="shared" si="26"/>
        <v>0</v>
      </c>
      <c r="BF42" s="48"/>
      <c r="BG42" s="73">
        <f t="shared" si="27"/>
        <v>0</v>
      </c>
      <c r="BI42" s="48"/>
      <c r="BJ42" s="73">
        <f t="shared" si="19"/>
        <v>0</v>
      </c>
      <c r="BK42" s="48"/>
      <c r="BL42" s="73">
        <f t="shared" si="28"/>
        <v>0</v>
      </c>
      <c r="BM42" s="48"/>
      <c r="BN42" s="73">
        <f t="shared" si="29"/>
        <v>0</v>
      </c>
      <c r="BO42" s="48"/>
      <c r="BP42" s="73">
        <f t="shared" si="30"/>
        <v>0</v>
      </c>
      <c r="BR42" s="48"/>
      <c r="BS42" s="73">
        <f t="shared" si="31"/>
        <v>0</v>
      </c>
      <c r="BT42" s="48"/>
      <c r="BU42" s="73">
        <f t="shared" si="32"/>
        <v>0</v>
      </c>
      <c r="BW42" s="48"/>
      <c r="BX42" s="73">
        <f t="shared" si="33"/>
        <v>0</v>
      </c>
      <c r="BZ42" s="48"/>
      <c r="CA42" s="73">
        <f t="shared" si="34"/>
        <v>0</v>
      </c>
    </row>
    <row r="43" spans="1:79" ht="15.75" customHeight="1" thickBot="1">
      <c r="A43" s="24">
        <v>37</v>
      </c>
      <c r="C43" s="44"/>
      <c r="E43" s="70">
        <f t="shared" si="20"/>
        <v>0</v>
      </c>
      <c r="F43" s="70">
        <f t="shared" si="21"/>
        <v>0</v>
      </c>
      <c r="G43" s="71">
        <f t="shared" si="22"/>
        <v>0</v>
      </c>
      <c r="H43" s="71">
        <f t="shared" si="23"/>
        <v>0</v>
      </c>
      <c r="I43" s="72">
        <f t="shared" si="0"/>
        <v>0</v>
      </c>
      <c r="J43" s="150"/>
      <c r="K43" s="48"/>
      <c r="L43" s="73">
        <f t="shared" si="1"/>
        <v>0</v>
      </c>
      <c r="M43" s="48"/>
      <c r="N43" s="73">
        <f t="shared" si="2"/>
        <v>0</v>
      </c>
      <c r="P43" s="48"/>
      <c r="Q43" s="73">
        <f t="shared" si="3"/>
        <v>0</v>
      </c>
      <c r="R43" s="48"/>
      <c r="S43" s="73">
        <f t="shared" si="4"/>
        <v>0</v>
      </c>
      <c r="T43" s="48"/>
      <c r="U43" s="73">
        <f t="shared" si="5"/>
        <v>0</v>
      </c>
      <c r="V43" s="48"/>
      <c r="W43" s="73">
        <f t="shared" si="6"/>
        <v>0</v>
      </c>
      <c r="Y43" s="48"/>
      <c r="Z43" s="73">
        <f t="shared" si="7"/>
        <v>0</v>
      </c>
      <c r="AA43" s="48"/>
      <c r="AB43" s="73">
        <f t="shared" si="8"/>
        <v>0</v>
      </c>
      <c r="AC43" s="48"/>
      <c r="AD43" s="73">
        <f t="shared" si="9"/>
        <v>0</v>
      </c>
      <c r="AE43" s="48"/>
      <c r="AF43" s="73">
        <f t="shared" si="10"/>
        <v>0</v>
      </c>
      <c r="AG43" s="2"/>
      <c r="AH43" s="48"/>
      <c r="AI43" s="73">
        <f t="shared" si="11"/>
        <v>0</v>
      </c>
      <c r="AJ43" s="48"/>
      <c r="AK43" s="73">
        <f t="shared" si="12"/>
        <v>0</v>
      </c>
      <c r="AL43" s="48"/>
      <c r="AM43" s="73">
        <f t="shared" si="13"/>
        <v>0</v>
      </c>
      <c r="AN43" s="48"/>
      <c r="AO43" s="73">
        <f t="shared" si="14"/>
        <v>0</v>
      </c>
      <c r="AP43" s="2"/>
      <c r="AQ43" s="48"/>
      <c r="AR43" s="73">
        <f t="shared" si="15"/>
        <v>0</v>
      </c>
      <c r="AS43" s="48"/>
      <c r="AT43" s="73">
        <f t="shared" si="16"/>
        <v>0</v>
      </c>
      <c r="AU43" s="48"/>
      <c r="AV43" s="73">
        <f t="shared" si="17"/>
        <v>0</v>
      </c>
      <c r="AW43" s="48"/>
      <c r="AX43" s="73">
        <f t="shared" si="18"/>
        <v>0</v>
      </c>
      <c r="AZ43" s="48"/>
      <c r="BA43" s="73">
        <f t="shared" si="24"/>
        <v>0</v>
      </c>
      <c r="BB43" s="48"/>
      <c r="BC43" s="73">
        <f t="shared" si="25"/>
        <v>0</v>
      </c>
      <c r="BD43" s="48"/>
      <c r="BE43" s="73">
        <f t="shared" si="26"/>
        <v>0</v>
      </c>
      <c r="BF43" s="48"/>
      <c r="BG43" s="73">
        <f t="shared" si="27"/>
        <v>0</v>
      </c>
      <c r="BI43" s="48"/>
      <c r="BJ43" s="73">
        <f t="shared" si="19"/>
        <v>0</v>
      </c>
      <c r="BK43" s="48"/>
      <c r="BL43" s="73">
        <f t="shared" si="28"/>
        <v>0</v>
      </c>
      <c r="BM43" s="48"/>
      <c r="BN43" s="73">
        <f t="shared" si="29"/>
        <v>0</v>
      </c>
      <c r="BO43" s="48"/>
      <c r="BP43" s="73">
        <f t="shared" si="30"/>
        <v>0</v>
      </c>
      <c r="BR43" s="48"/>
      <c r="BS43" s="73">
        <f t="shared" si="31"/>
        <v>0</v>
      </c>
      <c r="BT43" s="48"/>
      <c r="BU43" s="73">
        <f t="shared" si="32"/>
        <v>0</v>
      </c>
      <c r="BW43" s="48"/>
      <c r="BX43" s="73">
        <f t="shared" si="33"/>
        <v>0</v>
      </c>
      <c r="BZ43" s="48"/>
      <c r="CA43" s="73">
        <f t="shared" si="34"/>
        <v>0</v>
      </c>
    </row>
    <row r="44" spans="1:79" ht="15.75" customHeight="1" thickBot="1">
      <c r="A44" s="21">
        <v>38</v>
      </c>
      <c r="B44" s="39"/>
      <c r="C44" s="69"/>
      <c r="D44" s="56"/>
      <c r="E44" s="70">
        <f t="shared" si="20"/>
        <v>0</v>
      </c>
      <c r="F44" s="70">
        <f t="shared" si="21"/>
        <v>0</v>
      </c>
      <c r="G44" s="71">
        <f t="shared" si="22"/>
        <v>0</v>
      </c>
      <c r="H44" s="71">
        <f t="shared" si="23"/>
        <v>0</v>
      </c>
      <c r="I44" s="72">
        <f t="shared" si="0"/>
        <v>0</v>
      </c>
      <c r="J44" s="150"/>
      <c r="K44" s="48"/>
      <c r="L44" s="73">
        <f t="shared" si="1"/>
        <v>0</v>
      </c>
      <c r="M44" s="48"/>
      <c r="N44" s="73">
        <f t="shared" si="2"/>
        <v>0</v>
      </c>
      <c r="P44" s="48"/>
      <c r="Q44" s="73">
        <f t="shared" si="3"/>
        <v>0</v>
      </c>
      <c r="R44" s="48"/>
      <c r="S44" s="73">
        <f t="shared" si="4"/>
        <v>0</v>
      </c>
      <c r="T44" s="48"/>
      <c r="U44" s="73">
        <f t="shared" si="5"/>
        <v>0</v>
      </c>
      <c r="V44" s="48"/>
      <c r="W44" s="73">
        <f t="shared" si="6"/>
        <v>0</v>
      </c>
      <c r="Y44" s="48"/>
      <c r="Z44" s="73">
        <f t="shared" si="7"/>
        <v>0</v>
      </c>
      <c r="AA44" s="48"/>
      <c r="AB44" s="73">
        <f t="shared" si="8"/>
        <v>0</v>
      </c>
      <c r="AC44" s="48"/>
      <c r="AD44" s="73">
        <f t="shared" si="9"/>
        <v>0</v>
      </c>
      <c r="AE44" s="48"/>
      <c r="AF44" s="73">
        <f t="shared" si="10"/>
        <v>0</v>
      </c>
      <c r="AG44" s="2"/>
      <c r="AH44" s="48"/>
      <c r="AI44" s="73">
        <f t="shared" si="11"/>
        <v>0</v>
      </c>
      <c r="AJ44" s="48"/>
      <c r="AK44" s="73">
        <f t="shared" si="12"/>
        <v>0</v>
      </c>
      <c r="AL44" s="48"/>
      <c r="AM44" s="73">
        <f t="shared" si="13"/>
        <v>0</v>
      </c>
      <c r="AN44" s="48"/>
      <c r="AO44" s="73">
        <f t="shared" si="14"/>
        <v>0</v>
      </c>
      <c r="AP44" s="2"/>
      <c r="AQ44" s="48"/>
      <c r="AR44" s="73">
        <f t="shared" si="15"/>
        <v>0</v>
      </c>
      <c r="AS44" s="48"/>
      <c r="AT44" s="73">
        <f t="shared" si="16"/>
        <v>0</v>
      </c>
      <c r="AU44" s="48"/>
      <c r="AV44" s="73">
        <f t="shared" si="17"/>
        <v>0</v>
      </c>
      <c r="AW44" s="48"/>
      <c r="AX44" s="73">
        <f t="shared" si="18"/>
        <v>0</v>
      </c>
      <c r="AZ44" s="48"/>
      <c r="BA44" s="73">
        <f t="shared" si="24"/>
        <v>0</v>
      </c>
      <c r="BB44" s="48"/>
      <c r="BC44" s="73">
        <f t="shared" si="25"/>
        <v>0</v>
      </c>
      <c r="BD44" s="48"/>
      <c r="BE44" s="73">
        <f t="shared" si="26"/>
        <v>0</v>
      </c>
      <c r="BF44" s="48"/>
      <c r="BG44" s="73">
        <f t="shared" si="27"/>
        <v>0</v>
      </c>
      <c r="BI44" s="48"/>
      <c r="BJ44" s="73">
        <f t="shared" si="19"/>
        <v>0</v>
      </c>
      <c r="BK44" s="48"/>
      <c r="BL44" s="73">
        <f t="shared" si="28"/>
        <v>0</v>
      </c>
      <c r="BM44" s="48"/>
      <c r="BN44" s="73">
        <f t="shared" si="29"/>
        <v>0</v>
      </c>
      <c r="BO44" s="48"/>
      <c r="BP44" s="73">
        <f t="shared" si="30"/>
        <v>0</v>
      </c>
      <c r="BR44" s="48"/>
      <c r="BS44" s="73">
        <f t="shared" si="31"/>
        <v>0</v>
      </c>
      <c r="BT44" s="48"/>
      <c r="BU44" s="73">
        <f t="shared" si="32"/>
        <v>0</v>
      </c>
      <c r="BW44" s="48"/>
      <c r="BX44" s="73">
        <f t="shared" si="33"/>
        <v>0</v>
      </c>
      <c r="BZ44" s="48"/>
      <c r="CA44" s="73">
        <f t="shared" si="34"/>
        <v>0</v>
      </c>
    </row>
    <row r="45" spans="1:79" ht="15.75" customHeight="1" thickBot="1">
      <c r="A45" s="24">
        <v>39</v>
      </c>
      <c r="B45" s="39"/>
      <c r="C45" s="44"/>
      <c r="D45" s="56"/>
      <c r="E45" s="70">
        <f t="shared" si="20"/>
        <v>0</v>
      </c>
      <c r="F45" s="70">
        <f t="shared" si="21"/>
        <v>0</v>
      </c>
      <c r="G45" s="71">
        <f t="shared" si="22"/>
        <v>0</v>
      </c>
      <c r="H45" s="71">
        <f t="shared" si="23"/>
        <v>0</v>
      </c>
      <c r="I45" s="72">
        <f t="shared" si="0"/>
        <v>0</v>
      </c>
      <c r="J45" s="150"/>
      <c r="K45" s="48"/>
      <c r="L45" s="73">
        <f t="shared" si="1"/>
        <v>0</v>
      </c>
      <c r="M45" s="48"/>
      <c r="N45" s="73">
        <f t="shared" si="2"/>
        <v>0</v>
      </c>
      <c r="P45" s="48"/>
      <c r="Q45" s="73">
        <f t="shared" si="3"/>
        <v>0</v>
      </c>
      <c r="R45" s="48"/>
      <c r="S45" s="73">
        <f t="shared" si="4"/>
        <v>0</v>
      </c>
      <c r="T45" s="48"/>
      <c r="U45" s="73">
        <f t="shared" si="5"/>
        <v>0</v>
      </c>
      <c r="V45" s="48"/>
      <c r="W45" s="73">
        <f t="shared" si="6"/>
        <v>0</v>
      </c>
      <c r="Y45" s="48"/>
      <c r="Z45" s="73">
        <f t="shared" si="7"/>
        <v>0</v>
      </c>
      <c r="AA45" s="48"/>
      <c r="AB45" s="73">
        <f t="shared" si="8"/>
        <v>0</v>
      </c>
      <c r="AC45" s="48"/>
      <c r="AD45" s="73">
        <f t="shared" si="9"/>
        <v>0</v>
      </c>
      <c r="AE45" s="48"/>
      <c r="AF45" s="73">
        <f t="shared" si="10"/>
        <v>0</v>
      </c>
      <c r="AG45" s="2"/>
      <c r="AH45" s="48"/>
      <c r="AI45" s="73">
        <f t="shared" si="11"/>
        <v>0</v>
      </c>
      <c r="AJ45" s="48"/>
      <c r="AK45" s="73">
        <f t="shared" si="12"/>
        <v>0</v>
      </c>
      <c r="AL45" s="48"/>
      <c r="AM45" s="73">
        <f t="shared" si="13"/>
        <v>0</v>
      </c>
      <c r="AN45" s="48"/>
      <c r="AO45" s="73">
        <f t="shared" si="14"/>
        <v>0</v>
      </c>
      <c r="AP45" s="2"/>
      <c r="AQ45" s="48"/>
      <c r="AR45" s="73">
        <f t="shared" si="15"/>
        <v>0</v>
      </c>
      <c r="AS45" s="48"/>
      <c r="AT45" s="73">
        <f t="shared" si="16"/>
        <v>0</v>
      </c>
      <c r="AU45" s="48"/>
      <c r="AV45" s="73">
        <f t="shared" si="17"/>
        <v>0</v>
      </c>
      <c r="AW45" s="48"/>
      <c r="AX45" s="73">
        <f t="shared" si="18"/>
        <v>0</v>
      </c>
      <c r="AZ45" s="48"/>
      <c r="BA45" s="73">
        <f t="shared" si="24"/>
        <v>0</v>
      </c>
      <c r="BB45" s="48"/>
      <c r="BC45" s="73">
        <f t="shared" si="25"/>
        <v>0</v>
      </c>
      <c r="BD45" s="48"/>
      <c r="BE45" s="73">
        <f t="shared" si="26"/>
        <v>0</v>
      </c>
      <c r="BF45" s="48"/>
      <c r="BG45" s="73">
        <f t="shared" si="27"/>
        <v>0</v>
      </c>
      <c r="BI45" s="48"/>
      <c r="BJ45" s="73">
        <f t="shared" si="19"/>
        <v>0</v>
      </c>
      <c r="BK45" s="48"/>
      <c r="BL45" s="73">
        <f t="shared" si="28"/>
        <v>0</v>
      </c>
      <c r="BM45" s="48"/>
      <c r="BN45" s="73">
        <f t="shared" si="29"/>
        <v>0</v>
      </c>
      <c r="BO45" s="48"/>
      <c r="BP45" s="73">
        <f t="shared" si="30"/>
        <v>0</v>
      </c>
      <c r="BR45" s="48"/>
      <c r="BS45" s="73">
        <f t="shared" si="31"/>
        <v>0</v>
      </c>
      <c r="BT45" s="48"/>
      <c r="BU45" s="73">
        <f t="shared" si="32"/>
        <v>0</v>
      </c>
      <c r="BW45" s="48"/>
      <c r="BX45" s="73">
        <f t="shared" si="33"/>
        <v>0</v>
      </c>
      <c r="BZ45" s="48"/>
      <c r="CA45" s="73">
        <f t="shared" si="34"/>
        <v>0</v>
      </c>
    </row>
    <row r="46" spans="1:79" ht="15.75" customHeight="1" thickBot="1">
      <c r="A46" s="21">
        <v>40</v>
      </c>
      <c r="B46" s="39"/>
      <c r="C46" s="44"/>
      <c r="D46" s="56"/>
      <c r="E46" s="70">
        <f t="shared" si="20"/>
        <v>0</v>
      </c>
      <c r="F46" s="70">
        <f t="shared" si="21"/>
        <v>0</v>
      </c>
      <c r="G46" s="71">
        <f t="shared" si="22"/>
        <v>0</v>
      </c>
      <c r="H46" s="71">
        <f t="shared" si="23"/>
        <v>0</v>
      </c>
      <c r="I46" s="72">
        <f t="shared" si="0"/>
        <v>0</v>
      </c>
      <c r="J46" s="150"/>
      <c r="K46" s="48"/>
      <c r="L46" s="73">
        <f t="shared" si="1"/>
        <v>0</v>
      </c>
      <c r="M46" s="48"/>
      <c r="N46" s="73">
        <f t="shared" si="2"/>
        <v>0</v>
      </c>
      <c r="P46" s="48"/>
      <c r="Q46" s="73">
        <f t="shared" si="3"/>
        <v>0</v>
      </c>
      <c r="R46" s="48"/>
      <c r="S46" s="73">
        <f t="shared" si="4"/>
        <v>0</v>
      </c>
      <c r="T46" s="48"/>
      <c r="U46" s="73">
        <f t="shared" si="5"/>
        <v>0</v>
      </c>
      <c r="V46" s="48"/>
      <c r="W46" s="73">
        <f t="shared" si="6"/>
        <v>0</v>
      </c>
      <c r="Y46" s="48"/>
      <c r="Z46" s="73">
        <f t="shared" si="7"/>
        <v>0</v>
      </c>
      <c r="AA46" s="48"/>
      <c r="AB46" s="73">
        <f t="shared" si="8"/>
        <v>0</v>
      </c>
      <c r="AC46" s="48"/>
      <c r="AD46" s="73">
        <f t="shared" si="9"/>
        <v>0</v>
      </c>
      <c r="AE46" s="48"/>
      <c r="AF46" s="73">
        <f t="shared" si="10"/>
        <v>0</v>
      </c>
      <c r="AG46" s="2"/>
      <c r="AH46" s="48"/>
      <c r="AI46" s="73">
        <f t="shared" si="11"/>
        <v>0</v>
      </c>
      <c r="AJ46" s="48"/>
      <c r="AK46" s="73">
        <f t="shared" si="12"/>
        <v>0</v>
      </c>
      <c r="AL46" s="48"/>
      <c r="AM46" s="73">
        <f t="shared" si="13"/>
        <v>0</v>
      </c>
      <c r="AN46" s="48"/>
      <c r="AO46" s="73">
        <f t="shared" si="14"/>
        <v>0</v>
      </c>
      <c r="AP46" s="2"/>
      <c r="AQ46" s="48"/>
      <c r="AR46" s="73">
        <f t="shared" si="15"/>
        <v>0</v>
      </c>
      <c r="AS46" s="48"/>
      <c r="AT46" s="73">
        <f t="shared" si="16"/>
        <v>0</v>
      </c>
      <c r="AU46" s="48"/>
      <c r="AV46" s="73">
        <f t="shared" si="17"/>
        <v>0</v>
      </c>
      <c r="AW46" s="48"/>
      <c r="AX46" s="73">
        <f t="shared" si="18"/>
        <v>0</v>
      </c>
      <c r="AZ46" s="48"/>
      <c r="BA46" s="73">
        <f t="shared" si="24"/>
        <v>0</v>
      </c>
      <c r="BB46" s="48"/>
      <c r="BC46" s="73">
        <f t="shared" si="25"/>
        <v>0</v>
      </c>
      <c r="BD46" s="48"/>
      <c r="BE46" s="73">
        <f t="shared" si="26"/>
        <v>0</v>
      </c>
      <c r="BF46" s="48"/>
      <c r="BG46" s="73">
        <f t="shared" si="27"/>
        <v>0</v>
      </c>
      <c r="BI46" s="48"/>
      <c r="BJ46" s="73">
        <f t="shared" si="19"/>
        <v>0</v>
      </c>
      <c r="BK46" s="48"/>
      <c r="BL46" s="73">
        <f t="shared" si="28"/>
        <v>0</v>
      </c>
      <c r="BM46" s="48"/>
      <c r="BN46" s="73">
        <f t="shared" si="29"/>
        <v>0</v>
      </c>
      <c r="BO46" s="48"/>
      <c r="BP46" s="73">
        <f t="shared" si="30"/>
        <v>0</v>
      </c>
      <c r="BR46" s="48"/>
      <c r="BS46" s="73">
        <f t="shared" si="31"/>
        <v>0</v>
      </c>
      <c r="BT46" s="48"/>
      <c r="BU46" s="73">
        <f t="shared" si="32"/>
        <v>0</v>
      </c>
      <c r="BW46" s="48"/>
      <c r="BX46" s="73">
        <f t="shared" si="33"/>
        <v>0</v>
      </c>
      <c r="BZ46" s="48"/>
      <c r="CA46" s="73">
        <f t="shared" si="34"/>
        <v>0</v>
      </c>
    </row>
    <row r="47" spans="1:79" ht="15.75" customHeight="1" thickBot="1">
      <c r="A47" s="24">
        <v>41</v>
      </c>
      <c r="B47" s="39"/>
      <c r="C47" s="44"/>
      <c r="D47" s="56"/>
      <c r="E47" s="70">
        <f t="shared" si="20"/>
        <v>0</v>
      </c>
      <c r="F47" s="70">
        <f t="shared" si="21"/>
        <v>0</v>
      </c>
      <c r="G47" s="71">
        <f t="shared" si="22"/>
        <v>0</v>
      </c>
      <c r="H47" s="71">
        <f t="shared" si="23"/>
        <v>0</v>
      </c>
      <c r="I47" s="72">
        <f t="shared" si="0"/>
        <v>0</v>
      </c>
      <c r="J47" s="150"/>
      <c r="K47" s="48"/>
      <c r="L47" s="73">
        <f t="shared" si="1"/>
        <v>0</v>
      </c>
      <c r="M47" s="48"/>
      <c r="N47" s="73">
        <f t="shared" si="2"/>
        <v>0</v>
      </c>
      <c r="P47" s="48"/>
      <c r="Q47" s="73">
        <f t="shared" si="3"/>
        <v>0</v>
      </c>
      <c r="R47" s="48"/>
      <c r="S47" s="73">
        <f t="shared" si="4"/>
        <v>0</v>
      </c>
      <c r="T47" s="48"/>
      <c r="U47" s="73">
        <f t="shared" si="5"/>
        <v>0</v>
      </c>
      <c r="V47" s="48"/>
      <c r="W47" s="73">
        <f t="shared" si="6"/>
        <v>0</v>
      </c>
      <c r="Y47" s="48"/>
      <c r="Z47" s="73">
        <f t="shared" si="7"/>
        <v>0</v>
      </c>
      <c r="AA47" s="48"/>
      <c r="AB47" s="73">
        <f t="shared" si="8"/>
        <v>0</v>
      </c>
      <c r="AC47" s="48"/>
      <c r="AD47" s="73">
        <f t="shared" si="9"/>
        <v>0</v>
      </c>
      <c r="AE47" s="48"/>
      <c r="AF47" s="73">
        <f t="shared" si="10"/>
        <v>0</v>
      </c>
      <c r="AG47" s="2"/>
      <c r="AH47" s="48"/>
      <c r="AI47" s="73">
        <f t="shared" si="11"/>
        <v>0</v>
      </c>
      <c r="AJ47" s="48"/>
      <c r="AK47" s="73">
        <f t="shared" si="12"/>
        <v>0</v>
      </c>
      <c r="AL47" s="48"/>
      <c r="AM47" s="73">
        <f t="shared" si="13"/>
        <v>0</v>
      </c>
      <c r="AN47" s="48"/>
      <c r="AO47" s="73">
        <f t="shared" si="14"/>
        <v>0</v>
      </c>
      <c r="AP47" s="2"/>
      <c r="AQ47" s="48"/>
      <c r="AR47" s="73">
        <f t="shared" si="15"/>
        <v>0</v>
      </c>
      <c r="AS47" s="48"/>
      <c r="AT47" s="73">
        <f t="shared" si="16"/>
        <v>0</v>
      </c>
      <c r="AU47" s="48"/>
      <c r="AV47" s="73">
        <f t="shared" si="17"/>
        <v>0</v>
      </c>
      <c r="AW47" s="48"/>
      <c r="AX47" s="73">
        <f t="shared" si="18"/>
        <v>0</v>
      </c>
      <c r="AZ47" s="48"/>
      <c r="BA47" s="73">
        <f t="shared" si="24"/>
        <v>0</v>
      </c>
      <c r="BB47" s="48"/>
      <c r="BC47" s="73">
        <f t="shared" si="25"/>
        <v>0</v>
      </c>
      <c r="BD47" s="48"/>
      <c r="BE47" s="73">
        <f t="shared" si="26"/>
        <v>0</v>
      </c>
      <c r="BF47" s="48"/>
      <c r="BG47" s="73">
        <f t="shared" si="27"/>
        <v>0</v>
      </c>
      <c r="BI47" s="48"/>
      <c r="BJ47" s="73">
        <f t="shared" si="19"/>
        <v>0</v>
      </c>
      <c r="BK47" s="48"/>
      <c r="BL47" s="73">
        <f t="shared" si="28"/>
        <v>0</v>
      </c>
      <c r="BM47" s="48"/>
      <c r="BN47" s="73">
        <f t="shared" si="29"/>
        <v>0</v>
      </c>
      <c r="BO47" s="48"/>
      <c r="BP47" s="73">
        <f t="shared" si="30"/>
        <v>0</v>
      </c>
      <c r="BR47" s="48"/>
      <c r="BS47" s="73">
        <f t="shared" si="31"/>
        <v>0</v>
      </c>
      <c r="BT47" s="48"/>
      <c r="BU47" s="73">
        <f t="shared" si="32"/>
        <v>0</v>
      </c>
      <c r="BW47" s="48"/>
      <c r="BX47" s="73">
        <f t="shared" si="33"/>
        <v>0</v>
      </c>
      <c r="BZ47" s="48"/>
      <c r="CA47" s="73">
        <f t="shared" si="34"/>
        <v>0</v>
      </c>
    </row>
    <row r="48" spans="1:79" ht="15.75" customHeight="1" thickBot="1">
      <c r="A48" s="21">
        <v>42</v>
      </c>
      <c r="B48" s="39"/>
      <c r="C48" s="44"/>
      <c r="D48" s="56"/>
      <c r="E48" s="70">
        <f t="shared" si="20"/>
        <v>0</v>
      </c>
      <c r="F48" s="70">
        <f t="shared" si="21"/>
        <v>0</v>
      </c>
      <c r="G48" s="71">
        <f t="shared" si="22"/>
        <v>0</v>
      </c>
      <c r="H48" s="71">
        <f t="shared" si="23"/>
        <v>0</v>
      </c>
      <c r="I48" s="72">
        <f t="shared" si="0"/>
        <v>0</v>
      </c>
      <c r="J48" s="150"/>
      <c r="K48" s="48"/>
      <c r="L48" s="73">
        <f t="shared" si="1"/>
        <v>0</v>
      </c>
      <c r="M48" s="48"/>
      <c r="N48" s="73">
        <f t="shared" si="2"/>
        <v>0</v>
      </c>
      <c r="P48" s="48"/>
      <c r="Q48" s="73">
        <f t="shared" si="3"/>
        <v>0</v>
      </c>
      <c r="R48" s="48"/>
      <c r="S48" s="73">
        <f t="shared" si="4"/>
        <v>0</v>
      </c>
      <c r="T48" s="48"/>
      <c r="U48" s="73">
        <f t="shared" si="5"/>
        <v>0</v>
      </c>
      <c r="V48" s="48"/>
      <c r="W48" s="73">
        <f t="shared" si="6"/>
        <v>0</v>
      </c>
      <c r="Y48" s="48"/>
      <c r="Z48" s="73">
        <f t="shared" si="7"/>
        <v>0</v>
      </c>
      <c r="AA48" s="48"/>
      <c r="AB48" s="73">
        <f t="shared" si="8"/>
        <v>0</v>
      </c>
      <c r="AC48" s="48"/>
      <c r="AD48" s="73">
        <f t="shared" si="9"/>
        <v>0</v>
      </c>
      <c r="AE48" s="48"/>
      <c r="AF48" s="73">
        <f t="shared" si="10"/>
        <v>0</v>
      </c>
      <c r="AG48" s="2"/>
      <c r="AH48" s="48"/>
      <c r="AI48" s="73">
        <f t="shared" si="11"/>
        <v>0</v>
      </c>
      <c r="AJ48" s="48"/>
      <c r="AK48" s="73">
        <f t="shared" si="12"/>
        <v>0</v>
      </c>
      <c r="AL48" s="48"/>
      <c r="AM48" s="73">
        <f t="shared" si="13"/>
        <v>0</v>
      </c>
      <c r="AN48" s="48"/>
      <c r="AO48" s="73">
        <f t="shared" si="14"/>
        <v>0</v>
      </c>
      <c r="AP48" s="2"/>
      <c r="AQ48" s="48"/>
      <c r="AR48" s="73">
        <f t="shared" si="15"/>
        <v>0</v>
      </c>
      <c r="AS48" s="48"/>
      <c r="AT48" s="73">
        <f t="shared" si="16"/>
        <v>0</v>
      </c>
      <c r="AU48" s="48"/>
      <c r="AV48" s="73">
        <f t="shared" si="17"/>
        <v>0</v>
      </c>
      <c r="AW48" s="48"/>
      <c r="AX48" s="73">
        <f t="shared" si="18"/>
        <v>0</v>
      </c>
      <c r="AZ48" s="48"/>
      <c r="BA48" s="73">
        <f t="shared" si="24"/>
        <v>0</v>
      </c>
      <c r="BB48" s="48"/>
      <c r="BC48" s="73">
        <f t="shared" si="25"/>
        <v>0</v>
      </c>
      <c r="BD48" s="48"/>
      <c r="BE48" s="73">
        <f t="shared" si="26"/>
        <v>0</v>
      </c>
      <c r="BF48" s="48"/>
      <c r="BG48" s="73">
        <f t="shared" si="27"/>
        <v>0</v>
      </c>
      <c r="BI48" s="48"/>
      <c r="BJ48" s="73">
        <f t="shared" si="19"/>
        <v>0</v>
      </c>
      <c r="BK48" s="48"/>
      <c r="BL48" s="73">
        <f t="shared" si="28"/>
        <v>0</v>
      </c>
      <c r="BM48" s="48"/>
      <c r="BN48" s="73">
        <f t="shared" si="29"/>
        <v>0</v>
      </c>
      <c r="BO48" s="48"/>
      <c r="BP48" s="73">
        <f t="shared" si="30"/>
        <v>0</v>
      </c>
      <c r="BR48" s="48"/>
      <c r="BS48" s="73">
        <f t="shared" si="31"/>
        <v>0</v>
      </c>
      <c r="BT48" s="48"/>
      <c r="BU48" s="73">
        <f t="shared" si="32"/>
        <v>0</v>
      </c>
      <c r="BW48" s="48"/>
      <c r="BX48" s="73">
        <f t="shared" si="33"/>
        <v>0</v>
      </c>
      <c r="BZ48" s="48"/>
      <c r="CA48" s="73">
        <f t="shared" si="34"/>
        <v>0</v>
      </c>
    </row>
    <row r="49" spans="1:79" ht="15.75" customHeight="1" thickBot="1">
      <c r="A49" s="24">
        <v>43</v>
      </c>
      <c r="B49" s="39"/>
      <c r="C49" s="44"/>
      <c r="D49" s="56"/>
      <c r="E49" s="70">
        <f t="shared" si="20"/>
        <v>0</v>
      </c>
      <c r="F49" s="70">
        <f t="shared" si="21"/>
        <v>0</v>
      </c>
      <c r="G49" s="71">
        <f t="shared" si="22"/>
        <v>0</v>
      </c>
      <c r="H49" s="71">
        <f t="shared" si="23"/>
        <v>0</v>
      </c>
      <c r="I49" s="72">
        <f t="shared" si="0"/>
        <v>0</v>
      </c>
      <c r="J49" s="150"/>
      <c r="K49" s="48"/>
      <c r="L49" s="73">
        <f t="shared" si="1"/>
        <v>0</v>
      </c>
      <c r="M49" s="48"/>
      <c r="N49" s="73">
        <f t="shared" si="2"/>
        <v>0</v>
      </c>
      <c r="P49" s="48"/>
      <c r="Q49" s="73">
        <f t="shared" si="3"/>
        <v>0</v>
      </c>
      <c r="R49" s="48"/>
      <c r="S49" s="73">
        <f t="shared" si="4"/>
        <v>0</v>
      </c>
      <c r="T49" s="48"/>
      <c r="U49" s="73">
        <f t="shared" si="5"/>
        <v>0</v>
      </c>
      <c r="V49" s="48"/>
      <c r="W49" s="73">
        <f t="shared" si="6"/>
        <v>0</v>
      </c>
      <c r="Y49" s="48"/>
      <c r="Z49" s="73">
        <f t="shared" si="7"/>
        <v>0</v>
      </c>
      <c r="AA49" s="48"/>
      <c r="AB49" s="73">
        <f t="shared" si="8"/>
        <v>0</v>
      </c>
      <c r="AC49" s="48"/>
      <c r="AD49" s="73">
        <f t="shared" si="9"/>
        <v>0</v>
      </c>
      <c r="AE49" s="48"/>
      <c r="AF49" s="73">
        <f t="shared" si="10"/>
        <v>0</v>
      </c>
      <c r="AG49" s="2"/>
      <c r="AH49" s="48"/>
      <c r="AI49" s="73">
        <f t="shared" si="11"/>
        <v>0</v>
      </c>
      <c r="AJ49" s="48"/>
      <c r="AK49" s="73">
        <f t="shared" si="12"/>
        <v>0</v>
      </c>
      <c r="AL49" s="48"/>
      <c r="AM49" s="73">
        <f t="shared" si="13"/>
        <v>0</v>
      </c>
      <c r="AN49" s="48"/>
      <c r="AO49" s="73">
        <f t="shared" si="14"/>
        <v>0</v>
      </c>
      <c r="AP49" s="2"/>
      <c r="AQ49" s="48"/>
      <c r="AR49" s="73">
        <f t="shared" si="15"/>
        <v>0</v>
      </c>
      <c r="AS49" s="48"/>
      <c r="AT49" s="73">
        <f t="shared" si="16"/>
        <v>0</v>
      </c>
      <c r="AU49" s="48"/>
      <c r="AV49" s="73">
        <f t="shared" si="17"/>
        <v>0</v>
      </c>
      <c r="AW49" s="48"/>
      <c r="AX49" s="73">
        <f t="shared" si="18"/>
        <v>0</v>
      </c>
      <c r="AZ49" s="48"/>
      <c r="BA49" s="73">
        <f t="shared" si="24"/>
        <v>0</v>
      </c>
      <c r="BB49" s="48"/>
      <c r="BC49" s="73">
        <f t="shared" si="25"/>
        <v>0</v>
      </c>
      <c r="BD49" s="48"/>
      <c r="BE49" s="73">
        <f t="shared" si="26"/>
        <v>0</v>
      </c>
      <c r="BF49" s="48"/>
      <c r="BG49" s="73">
        <f t="shared" si="27"/>
        <v>0</v>
      </c>
      <c r="BI49" s="48"/>
      <c r="BJ49" s="73">
        <f t="shared" si="19"/>
        <v>0</v>
      </c>
      <c r="BK49" s="48"/>
      <c r="BL49" s="73">
        <f t="shared" si="28"/>
        <v>0</v>
      </c>
      <c r="BM49" s="48"/>
      <c r="BN49" s="73">
        <f t="shared" si="29"/>
        <v>0</v>
      </c>
      <c r="BO49" s="48"/>
      <c r="BP49" s="73">
        <f t="shared" si="30"/>
        <v>0</v>
      </c>
      <c r="BR49" s="48"/>
      <c r="BS49" s="73">
        <f t="shared" si="31"/>
        <v>0</v>
      </c>
      <c r="BT49" s="48"/>
      <c r="BU49" s="73">
        <f t="shared" si="32"/>
        <v>0</v>
      </c>
      <c r="BW49" s="48"/>
      <c r="BX49" s="73">
        <f t="shared" si="33"/>
        <v>0</v>
      </c>
      <c r="BZ49" s="48"/>
      <c r="CA49" s="73">
        <f t="shared" si="34"/>
        <v>0</v>
      </c>
    </row>
    <row r="50" spans="1:79" ht="15.75" customHeight="1" thickBot="1">
      <c r="A50" s="21">
        <v>44</v>
      </c>
      <c r="B50" s="39"/>
      <c r="C50" s="44"/>
      <c r="D50" s="56"/>
      <c r="E50" s="70">
        <f t="shared" si="20"/>
        <v>0</v>
      </c>
      <c r="F50" s="70">
        <f t="shared" si="21"/>
        <v>0</v>
      </c>
      <c r="G50" s="71">
        <f t="shared" si="22"/>
        <v>0</v>
      </c>
      <c r="H50" s="71">
        <f t="shared" si="23"/>
        <v>0</v>
      </c>
      <c r="I50" s="72">
        <f t="shared" si="0"/>
        <v>0</v>
      </c>
      <c r="J50" s="150"/>
      <c r="K50" s="48"/>
      <c r="L50" s="73">
        <f t="shared" si="1"/>
        <v>0</v>
      </c>
      <c r="M50" s="48"/>
      <c r="N50" s="73">
        <f t="shared" si="2"/>
        <v>0</v>
      </c>
      <c r="P50" s="48"/>
      <c r="Q50" s="73">
        <f t="shared" si="3"/>
        <v>0</v>
      </c>
      <c r="R50" s="48"/>
      <c r="S50" s="73">
        <f t="shared" si="4"/>
        <v>0</v>
      </c>
      <c r="T50" s="48"/>
      <c r="U50" s="73">
        <f t="shared" si="5"/>
        <v>0</v>
      </c>
      <c r="V50" s="48"/>
      <c r="W50" s="73">
        <f t="shared" si="6"/>
        <v>0</v>
      </c>
      <c r="Y50" s="48"/>
      <c r="Z50" s="73">
        <f t="shared" si="7"/>
        <v>0</v>
      </c>
      <c r="AA50" s="48"/>
      <c r="AB50" s="73">
        <f t="shared" si="8"/>
        <v>0</v>
      </c>
      <c r="AC50" s="48"/>
      <c r="AD50" s="73">
        <f t="shared" si="9"/>
        <v>0</v>
      </c>
      <c r="AE50" s="48"/>
      <c r="AF50" s="73">
        <f t="shared" si="10"/>
        <v>0</v>
      </c>
      <c r="AG50" s="2"/>
      <c r="AH50" s="48"/>
      <c r="AI50" s="73">
        <f t="shared" si="11"/>
        <v>0</v>
      </c>
      <c r="AJ50" s="48"/>
      <c r="AK50" s="73">
        <f t="shared" si="12"/>
        <v>0</v>
      </c>
      <c r="AL50" s="48"/>
      <c r="AM50" s="73">
        <f t="shared" si="13"/>
        <v>0</v>
      </c>
      <c r="AN50" s="48"/>
      <c r="AO50" s="73">
        <f t="shared" si="14"/>
        <v>0</v>
      </c>
      <c r="AP50" s="2"/>
      <c r="AQ50" s="48"/>
      <c r="AR50" s="73">
        <f t="shared" si="15"/>
        <v>0</v>
      </c>
      <c r="AS50" s="48"/>
      <c r="AT50" s="73">
        <f t="shared" si="16"/>
        <v>0</v>
      </c>
      <c r="AU50" s="48"/>
      <c r="AV50" s="73">
        <f t="shared" si="17"/>
        <v>0</v>
      </c>
      <c r="AW50" s="48"/>
      <c r="AX50" s="73">
        <f t="shared" si="18"/>
        <v>0</v>
      </c>
      <c r="AZ50" s="48"/>
      <c r="BA50" s="73">
        <f t="shared" si="24"/>
        <v>0</v>
      </c>
      <c r="BB50" s="48"/>
      <c r="BC50" s="73">
        <f t="shared" si="25"/>
        <v>0</v>
      </c>
      <c r="BD50" s="48"/>
      <c r="BE50" s="73">
        <f t="shared" si="26"/>
        <v>0</v>
      </c>
      <c r="BF50" s="48"/>
      <c r="BG50" s="73">
        <f t="shared" si="27"/>
        <v>0</v>
      </c>
      <c r="BI50" s="48"/>
      <c r="BJ50" s="73">
        <f t="shared" si="19"/>
        <v>0</v>
      </c>
      <c r="BK50" s="48"/>
      <c r="BL50" s="73">
        <f t="shared" si="28"/>
        <v>0</v>
      </c>
      <c r="BM50" s="48"/>
      <c r="BN50" s="73">
        <f t="shared" si="29"/>
        <v>0</v>
      </c>
      <c r="BO50" s="48"/>
      <c r="BP50" s="73">
        <f t="shared" si="30"/>
        <v>0</v>
      </c>
      <c r="BR50" s="48"/>
      <c r="BS50" s="73">
        <f t="shared" si="31"/>
        <v>0</v>
      </c>
      <c r="BT50" s="48"/>
      <c r="BU50" s="73">
        <f t="shared" si="32"/>
        <v>0</v>
      </c>
      <c r="BW50" s="48"/>
      <c r="BX50" s="73">
        <f t="shared" si="33"/>
        <v>0</v>
      </c>
      <c r="BZ50" s="48"/>
      <c r="CA50" s="73">
        <f t="shared" si="34"/>
        <v>0</v>
      </c>
    </row>
    <row r="51" spans="1:79" ht="15.75" customHeight="1" thickBot="1">
      <c r="A51" s="24">
        <v>45</v>
      </c>
      <c r="B51" s="39"/>
      <c r="C51" s="44"/>
      <c r="D51" s="40"/>
      <c r="E51" s="70">
        <f t="shared" si="20"/>
        <v>0</v>
      </c>
      <c r="F51" s="70">
        <f t="shared" si="21"/>
        <v>0</v>
      </c>
      <c r="G51" s="71">
        <f t="shared" si="22"/>
        <v>0</v>
      </c>
      <c r="H51" s="71">
        <f t="shared" si="23"/>
        <v>0</v>
      </c>
      <c r="I51" s="72">
        <f t="shared" si="0"/>
        <v>0</v>
      </c>
      <c r="J51" s="150"/>
      <c r="K51" s="48"/>
      <c r="L51" s="73">
        <f t="shared" si="1"/>
        <v>0</v>
      </c>
      <c r="M51" s="48"/>
      <c r="N51" s="73">
        <f t="shared" si="2"/>
        <v>0</v>
      </c>
      <c r="P51" s="48"/>
      <c r="Q51" s="73">
        <f t="shared" si="3"/>
        <v>0</v>
      </c>
      <c r="R51" s="48"/>
      <c r="S51" s="73">
        <f t="shared" si="4"/>
        <v>0</v>
      </c>
      <c r="T51" s="48"/>
      <c r="U51" s="73">
        <f t="shared" si="5"/>
        <v>0</v>
      </c>
      <c r="V51" s="48"/>
      <c r="W51" s="73">
        <f t="shared" si="6"/>
        <v>0</v>
      </c>
      <c r="Y51" s="48"/>
      <c r="Z51" s="73">
        <f t="shared" si="7"/>
        <v>0</v>
      </c>
      <c r="AA51" s="48"/>
      <c r="AB51" s="73">
        <f t="shared" si="8"/>
        <v>0</v>
      </c>
      <c r="AC51" s="48"/>
      <c r="AD51" s="73">
        <f t="shared" si="9"/>
        <v>0</v>
      </c>
      <c r="AE51" s="48"/>
      <c r="AF51" s="73">
        <f t="shared" si="10"/>
        <v>0</v>
      </c>
      <c r="AG51" s="2"/>
      <c r="AH51" s="48"/>
      <c r="AI51" s="73">
        <f t="shared" si="11"/>
        <v>0</v>
      </c>
      <c r="AJ51" s="48"/>
      <c r="AK51" s="73">
        <f t="shared" si="12"/>
        <v>0</v>
      </c>
      <c r="AL51" s="48"/>
      <c r="AM51" s="73">
        <f t="shared" si="13"/>
        <v>0</v>
      </c>
      <c r="AN51" s="48"/>
      <c r="AO51" s="73">
        <f t="shared" si="14"/>
        <v>0</v>
      </c>
      <c r="AP51" s="2"/>
      <c r="AQ51" s="48"/>
      <c r="AR51" s="73">
        <f t="shared" si="15"/>
        <v>0</v>
      </c>
      <c r="AS51" s="48"/>
      <c r="AT51" s="73">
        <f t="shared" si="16"/>
        <v>0</v>
      </c>
      <c r="AU51" s="48"/>
      <c r="AV51" s="73">
        <f t="shared" si="17"/>
        <v>0</v>
      </c>
      <c r="AW51" s="48"/>
      <c r="AX51" s="73">
        <f t="shared" si="18"/>
        <v>0</v>
      </c>
      <c r="AZ51" s="48"/>
      <c r="BA51" s="73">
        <f t="shared" si="24"/>
        <v>0</v>
      </c>
      <c r="BB51" s="48"/>
      <c r="BC51" s="73">
        <f t="shared" si="25"/>
        <v>0</v>
      </c>
      <c r="BD51" s="48"/>
      <c r="BE51" s="73">
        <f t="shared" si="26"/>
        <v>0</v>
      </c>
      <c r="BF51" s="48"/>
      <c r="BG51" s="73">
        <f t="shared" si="27"/>
        <v>0</v>
      </c>
      <c r="BI51" s="48"/>
      <c r="BJ51" s="73">
        <f t="shared" si="19"/>
        <v>0</v>
      </c>
      <c r="BK51" s="48"/>
      <c r="BL51" s="73">
        <f t="shared" si="28"/>
        <v>0</v>
      </c>
      <c r="BM51" s="48"/>
      <c r="BN51" s="73">
        <f t="shared" si="29"/>
        <v>0</v>
      </c>
      <c r="BO51" s="48"/>
      <c r="BP51" s="73">
        <f t="shared" si="30"/>
        <v>0</v>
      </c>
      <c r="BR51" s="48"/>
      <c r="BS51" s="73">
        <f t="shared" si="31"/>
        <v>0</v>
      </c>
      <c r="BT51" s="48"/>
      <c r="BU51" s="73">
        <f t="shared" si="32"/>
        <v>0</v>
      </c>
      <c r="BW51" s="48"/>
      <c r="BX51" s="73">
        <f t="shared" si="33"/>
        <v>0</v>
      </c>
      <c r="BZ51" s="48"/>
      <c r="CA51" s="73">
        <f t="shared" si="34"/>
        <v>0</v>
      </c>
    </row>
    <row r="52" spans="1:79" ht="15.75" customHeight="1" thickBot="1">
      <c r="A52" s="21">
        <v>46</v>
      </c>
      <c r="B52" s="39"/>
      <c r="C52" s="44"/>
      <c r="D52" s="56"/>
      <c r="E52" s="70">
        <f t="shared" si="20"/>
        <v>0</v>
      </c>
      <c r="F52" s="70">
        <f t="shared" si="21"/>
        <v>0</v>
      </c>
      <c r="G52" s="71">
        <f t="shared" si="22"/>
        <v>0</v>
      </c>
      <c r="H52" s="71">
        <f t="shared" si="23"/>
        <v>0</v>
      </c>
      <c r="I52" s="72">
        <f t="shared" si="0"/>
        <v>0</v>
      </c>
      <c r="J52" s="150"/>
      <c r="K52" s="48"/>
      <c r="L52" s="73">
        <f t="shared" ref="L52:L107" si="35">_xlfn.LET(
    _xlpm.FinalScore, TRIM(SUBSTITUTE($K$6," ","")),
    _xlpm.UserGuess, TRIM(SUBSTITUTE(K52,"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OR($K$6="", K52=""),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M52" s="48"/>
      <c r="N52" s="73">
        <f t="shared" ref="N52:N107" si="36">_xlfn.LET(
    _xlpm.FinalScore, TRIM(SUBSTITUTE($M$6," ","")),
    _xlpm.UserGuess, TRIM(SUBSTITUTE(M52,"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OR($M$6="", M52=""),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P52" s="48"/>
      <c r="Q52" s="73">
        <f t="shared" ref="Q52:Q107" si="37">_xlfn.LET(
    _xlpm.FinalScore, TRIM(SUBSTITUTE($P$6," ","")),
    _xlpm.UserGuess, TRIM(SUBSTITUTE(P52,"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OR($P$6="", P52=""),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R52" s="48"/>
      <c r="S52" s="73">
        <f t="shared" ref="S52:S107" si="38">_xlfn.LET(
    _xlpm.FinalScore, TRIM(SUBSTITUTE($R$6," ","")),
    _xlpm.UserGuess, TRIM(SUBSTITUTE(R52,"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OR($R$6="", R52=""),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T52" s="48"/>
      <c r="U52" s="73">
        <f t="shared" ref="U52:U107" si="39">_xlfn.LET(
    _xlpm.FinalScore, TRIM(SUBSTITUTE($T$6," ","")),
    _xlpm.UserGuess, TRIM(SUBSTITUTE(T52,"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OR($T$6="", T52=""),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V52" s="48"/>
      <c r="W52" s="73">
        <f t="shared" ref="W52:W107" si="40">_xlfn.LET(
    _xlpm.FinalScore, TRIM(SUBSTITUTE($V$6," ","")),
    _xlpm.UserGuess, TRIM(SUBSTITUTE(V52,"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OR($V$6="", V52=""),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Y52" s="48"/>
      <c r="Z52" s="73">
        <f t="shared" ref="Z52:Z107" si="41">_xlfn.LET(
    _xlpm.FinalScore, TRIM(SUBSTITUTE($Y$6," ","")),
    _xlpm.UserGuess, TRIM(SUBSTITUTE(Y52,"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OR($Y$6="", Y52=""),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A52" s="48"/>
      <c r="AB52" s="73">
        <f t="shared" ref="AB52:AB107" si="42">_xlfn.LET(
    _xlpm.FinalScore, TRIM(SUBSTITUTE($AA$6," ","")),
    _xlpm.UserGuess, TRIM(SUBSTITUTE(AA52,"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OR($AA$6="", AA52=""),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C52" s="48"/>
      <c r="AD52" s="73">
        <f t="shared" ref="AD52:AD107" si="43">_xlfn.LET(
    _xlpm.FinalScore, TRIM(SUBSTITUTE($AC$6," ","")),
    _xlpm.UserGuess, TRIM(SUBSTITUTE(AC52,"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OR($AC$6="", AC52=""),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E52" s="48"/>
      <c r="AF52" s="73">
        <f t="shared" ref="AF52:AF107" si="44">_xlfn.LET(
    _xlpm.FinalScore, TRIM(SUBSTITUTE($AE$6," ","")),
    _xlpm.UserGuess, TRIM(SUBSTITUTE(AE52,"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OR($AE$6="", AE52=""),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G52" s="2"/>
      <c r="AH52" s="48"/>
      <c r="AI52" s="73">
        <f t="shared" ref="AI52:AI107" si="45">_xlfn.LET(
    _xlpm.FinalScore, TRIM(SUBSTITUTE($AH$6," ","")),
    _xlpm.UserGuess, TRIM(SUBSTITUTE(AH52,"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OR($AH$6="", AH52=""),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J52" s="48"/>
      <c r="AK52" s="73">
        <f t="shared" ref="AK52:AK107" si="46">_xlfn.LET(
_xlpm.FinalScore,TRIM(SUBSTITUTE($AJ$6," ","")),
_xlpm.UserGuess,TRIM(SUBSTITUTE(AJ52," ","")),
_xlpm.FinalHome,VALUE(LEFT(_xlpm.FinalScore,FIND(":",_xlpm.FinalScore)-1)),
_xlpm.FinalAway,VALUE(MID(_xlpm.FinalScore,FIND(":",_xlpm.FinalScore)+1,LEN(_xlpm.FinalScore))),
_xlpm.GuessHome,VALUE(LEFT(_xlpm.UserGuess,FIND(":",_xlpm.UserGuess)-1)),
_xlpm.GuessAway,VALUE(MID(_xlpm.UserGuess,FIND(":",_xlpm.UserGuess)+1,LEN(_xlpm.UserGuess))),
_xlpm.FinalDiff,_xlpm.FinalHome-_xlpm.FinalAway,
_xlpm.GuessDiff,_xlpm.GuessHome-_xlpm.GuessAway,
IF(
OR($AJ$6="",AJ52=""),
0+N("If final or guess is missing, 0 points"),
IF(
AND(_xlpm.FinalHome=_xlpm.GuessHome,_xlpm.FinalAway=_xlpm.GuessAway),
4+N("Exact score guessed, 4 points"),
IF(
AND(
SIGN(_xlpm.FinalDiff)=SIGN(_xlpm.GuessDiff),
OR(_xlpm.FinalHome=_xlpm.GuessHome,_xlpm.FinalAway=_xlpm.GuessAway)
),
2+N("Winner and one side score guessed, 2 points"),
IF(
SIGN(_xlpm.FinalDiff)=SIGN(_xlpm.GuessDiff),
1+N("Only winner guessed, 1 point"),
0+N("Wrong guess, 0 points")
)
)
)
)
)</f>
        <v>0</v>
      </c>
      <c r="AL52" s="48"/>
      <c r="AM52" s="73">
        <f t="shared" ref="AM52:AM107" si="47">_xlfn.LET(
    _xlpm.FinalScore, TRIM(SUBSTITUTE($AL$6," ","")),
    _xlpm.UserGuess, TRIM(SUBSTITUTE(AL52,"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OR($AL$6="", AL52=""),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N52" s="48"/>
      <c r="AO52" s="73">
        <f t="shared" ref="AO52:AO107" si="48">_xlfn.LET(
    _xlpm.FinalScore, TRIM(SUBSTITUTE($AN$6," ","")),
    _xlpm.UserGuess, TRIM(SUBSTITUTE(AN52,"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OR($AN$6="", AN52=""),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P52" s="2"/>
      <c r="AQ52" s="48"/>
      <c r="AR52" s="73">
        <f t="shared" ref="AR52:AR107" si="49">_xlfn.LET(
    _xlpm.FinalScore, TRIM(SUBSTITUTE($AQ$6," ","")),
    _xlpm.UserGuess, TRIM(SUBSTITUTE(AQ52,"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OR($AQ$6="", AQ52=""),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S52" s="48"/>
      <c r="AT52" s="73">
        <f t="shared" ref="AT52:AT107" si="50">_xlfn.LET(
    _xlpm.FinalScore, TRIM(SUBSTITUTE($AS$6," ","")),
    _xlpm.UserGuess, TRIM(SUBSTITUTE(AS52,"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OR($AS$6="", AS52=""),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U52" s="48"/>
      <c r="AV52" s="73">
        <f t="shared" ref="AV52:AV107" si="51">_xlfn.LET(
    _xlpm.FinalScore, TRIM(SUBSTITUTE($AU$6," ","")),
    _xlpm.UserGuess, TRIM(SUBSTITUTE(AU52,"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OR($AU$6="", AU52=""),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W52" s="48"/>
      <c r="AX52" s="73">
        <f t="shared" ref="AX52:AX107" si="52">_xlfn.LET(
    _xlpm.FinalScore, TRIM(SUBSTITUTE($AW$6," ","")),
    _xlpm.UserGuess, TRIM(SUBSTITUTE(AW52,"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AW52=""),
        0 +N("If final or guess is missing, 0 points"),
        IF(
            AND(_xlpm.FinalHome=_xlpm.GuessHome, _xlpm.FinalAway=_xlpm.GuessAway),
            4 +N("Exact score guessed, 4 points"),
            IF(
                AND(
                    SIGN(_xlpm.FinalDiff) = SIGN(_xlpm.GuessDiff),
                    OR(_xlpm.FinalHome=_xlpm.GuessHome, _xlpm.FinalAway=_xlpm.GuessAway)
                ),
                2 +N("Winner and one side score guessed, 2 points"),
                IF(
                    SIGN(_xlpm.FinalDiff) = SIGN(_xlpm.GuessDiff),
                    1 +N("Only winner guessed, 1 point"),
                    0 +N("Wrong guess, 0 points")
                )
            )
        )
    )
)</f>
        <v>0</v>
      </c>
      <c r="AZ52" s="48"/>
      <c r="BA52" s="73">
        <f t="shared" si="24"/>
        <v>0</v>
      </c>
      <c r="BB52" s="48"/>
      <c r="BC52" s="73">
        <f t="shared" si="25"/>
        <v>0</v>
      </c>
      <c r="BD52" s="48"/>
      <c r="BE52" s="73">
        <f t="shared" si="26"/>
        <v>0</v>
      </c>
      <c r="BF52" s="48"/>
      <c r="BG52" s="73">
        <f t="shared" si="27"/>
        <v>0</v>
      </c>
      <c r="BI52" s="48"/>
      <c r="BJ52" s="73">
        <f t="shared" si="19"/>
        <v>0</v>
      </c>
      <c r="BK52" s="48"/>
      <c r="BL52" s="73">
        <f t="shared" si="28"/>
        <v>0</v>
      </c>
      <c r="BM52" s="48"/>
      <c r="BN52" s="73">
        <f t="shared" si="29"/>
        <v>0</v>
      </c>
      <c r="BO52" s="48"/>
      <c r="BP52" s="73">
        <f t="shared" si="30"/>
        <v>0</v>
      </c>
      <c r="BR52" s="48"/>
      <c r="BS52" s="73">
        <f t="shared" si="31"/>
        <v>0</v>
      </c>
      <c r="BT52" s="48"/>
      <c r="BU52" s="73">
        <f t="shared" si="32"/>
        <v>0</v>
      </c>
      <c r="BW52" s="48"/>
      <c r="BX52" s="73">
        <f t="shared" si="33"/>
        <v>0</v>
      </c>
      <c r="BZ52" s="48"/>
      <c r="CA52" s="73">
        <f t="shared" si="34"/>
        <v>0</v>
      </c>
    </row>
    <row r="53" spans="1:79" ht="15.75" customHeight="1" thickBot="1">
      <c r="A53" s="24">
        <v>47</v>
      </c>
      <c r="B53" s="39"/>
      <c r="C53" s="44"/>
      <c r="D53" s="40"/>
      <c r="E53" s="70">
        <f t="shared" si="20"/>
        <v>0</v>
      </c>
      <c r="F53" s="70">
        <f t="shared" si="21"/>
        <v>0</v>
      </c>
      <c r="G53" s="71">
        <f t="shared" si="22"/>
        <v>0</v>
      </c>
      <c r="H53" s="71">
        <f t="shared" si="23"/>
        <v>0</v>
      </c>
      <c r="I53" s="72">
        <f t="shared" si="0"/>
        <v>0</v>
      </c>
      <c r="J53" s="150"/>
      <c r="K53" s="48"/>
      <c r="L53" s="73">
        <f t="shared" si="35"/>
        <v>0</v>
      </c>
      <c r="M53" s="48"/>
      <c r="N53" s="73">
        <f t="shared" si="36"/>
        <v>0</v>
      </c>
      <c r="P53" s="48"/>
      <c r="Q53" s="73">
        <f t="shared" si="37"/>
        <v>0</v>
      </c>
      <c r="R53" s="48"/>
      <c r="S53" s="73">
        <f t="shared" si="38"/>
        <v>0</v>
      </c>
      <c r="T53" s="48"/>
      <c r="U53" s="73">
        <f t="shared" si="39"/>
        <v>0</v>
      </c>
      <c r="V53" s="48"/>
      <c r="W53" s="73">
        <f t="shared" si="40"/>
        <v>0</v>
      </c>
      <c r="Y53" s="48"/>
      <c r="Z53" s="73">
        <f t="shared" si="41"/>
        <v>0</v>
      </c>
      <c r="AA53" s="48"/>
      <c r="AB53" s="73">
        <f t="shared" si="42"/>
        <v>0</v>
      </c>
      <c r="AC53" s="48"/>
      <c r="AD53" s="73">
        <f t="shared" si="43"/>
        <v>0</v>
      </c>
      <c r="AE53" s="48"/>
      <c r="AF53" s="73">
        <f t="shared" si="44"/>
        <v>0</v>
      </c>
      <c r="AG53" s="2"/>
      <c r="AH53" s="48"/>
      <c r="AI53" s="73">
        <f t="shared" si="45"/>
        <v>0</v>
      </c>
      <c r="AJ53" s="48"/>
      <c r="AK53" s="73">
        <f t="shared" si="46"/>
        <v>0</v>
      </c>
      <c r="AL53" s="48"/>
      <c r="AM53" s="73">
        <f t="shared" si="47"/>
        <v>0</v>
      </c>
      <c r="AN53" s="48"/>
      <c r="AO53" s="73">
        <f t="shared" si="48"/>
        <v>0</v>
      </c>
      <c r="AP53" s="2"/>
      <c r="AQ53" s="48"/>
      <c r="AR53" s="73">
        <f t="shared" si="49"/>
        <v>0</v>
      </c>
      <c r="AS53" s="48"/>
      <c r="AT53" s="73">
        <f t="shared" si="50"/>
        <v>0</v>
      </c>
      <c r="AU53" s="48"/>
      <c r="AV53" s="73">
        <f t="shared" si="51"/>
        <v>0</v>
      </c>
      <c r="AW53" s="48"/>
      <c r="AX53" s="73">
        <f t="shared" si="52"/>
        <v>0</v>
      </c>
      <c r="AZ53" s="48"/>
      <c r="BA53" s="73">
        <f t="shared" si="24"/>
        <v>0</v>
      </c>
      <c r="BB53" s="48"/>
      <c r="BC53" s="73">
        <f t="shared" si="25"/>
        <v>0</v>
      </c>
      <c r="BD53" s="48"/>
      <c r="BE53" s="73">
        <f t="shared" si="26"/>
        <v>0</v>
      </c>
      <c r="BF53" s="48"/>
      <c r="BG53" s="73">
        <f t="shared" si="27"/>
        <v>0</v>
      </c>
      <c r="BI53" s="48"/>
      <c r="BJ53" s="73">
        <f t="shared" si="19"/>
        <v>0</v>
      </c>
      <c r="BK53" s="48"/>
      <c r="BL53" s="73">
        <f t="shared" si="28"/>
        <v>0</v>
      </c>
      <c r="BM53" s="48"/>
      <c r="BN53" s="73">
        <f t="shared" si="29"/>
        <v>0</v>
      </c>
      <c r="BO53" s="48"/>
      <c r="BP53" s="73">
        <f t="shared" si="30"/>
        <v>0</v>
      </c>
      <c r="BR53" s="48"/>
      <c r="BS53" s="73">
        <f t="shared" si="31"/>
        <v>0</v>
      </c>
      <c r="BT53" s="48"/>
      <c r="BU53" s="73">
        <f t="shared" si="32"/>
        <v>0</v>
      </c>
      <c r="BW53" s="48"/>
      <c r="BX53" s="73">
        <f t="shared" si="33"/>
        <v>0</v>
      </c>
      <c r="BZ53" s="48"/>
      <c r="CA53" s="73">
        <f t="shared" si="34"/>
        <v>0</v>
      </c>
    </row>
    <row r="54" spans="1:79" thickBot="1">
      <c r="A54" s="21">
        <v>48</v>
      </c>
      <c r="B54" s="39"/>
      <c r="C54" s="40"/>
      <c r="D54" s="40"/>
      <c r="E54" s="70">
        <f t="shared" si="20"/>
        <v>0</v>
      </c>
      <c r="F54" s="70">
        <f t="shared" si="21"/>
        <v>0</v>
      </c>
      <c r="G54" s="71">
        <f t="shared" si="22"/>
        <v>0</v>
      </c>
      <c r="H54" s="71">
        <f t="shared" si="23"/>
        <v>0</v>
      </c>
      <c r="I54" s="72">
        <f t="shared" si="0"/>
        <v>0</v>
      </c>
      <c r="J54" s="150"/>
      <c r="K54" s="48"/>
      <c r="L54" s="73">
        <f t="shared" si="35"/>
        <v>0</v>
      </c>
      <c r="M54" s="48"/>
      <c r="N54" s="73">
        <f t="shared" si="36"/>
        <v>0</v>
      </c>
      <c r="P54" s="48"/>
      <c r="Q54" s="73">
        <f t="shared" si="37"/>
        <v>0</v>
      </c>
      <c r="R54" s="48"/>
      <c r="S54" s="73">
        <f t="shared" si="38"/>
        <v>0</v>
      </c>
      <c r="T54" s="48"/>
      <c r="U54" s="73">
        <f t="shared" si="39"/>
        <v>0</v>
      </c>
      <c r="V54" s="48"/>
      <c r="W54" s="73">
        <f t="shared" si="40"/>
        <v>0</v>
      </c>
      <c r="Y54" s="48"/>
      <c r="Z54" s="73">
        <f t="shared" si="41"/>
        <v>0</v>
      </c>
      <c r="AA54" s="48"/>
      <c r="AB54" s="73">
        <f t="shared" si="42"/>
        <v>0</v>
      </c>
      <c r="AC54" s="48"/>
      <c r="AD54" s="73">
        <f t="shared" si="43"/>
        <v>0</v>
      </c>
      <c r="AE54" s="48"/>
      <c r="AF54" s="73">
        <f t="shared" si="44"/>
        <v>0</v>
      </c>
      <c r="AG54" s="2"/>
      <c r="AH54" s="48"/>
      <c r="AI54" s="73">
        <f t="shared" si="45"/>
        <v>0</v>
      </c>
      <c r="AJ54" s="48"/>
      <c r="AK54" s="73">
        <f t="shared" si="46"/>
        <v>0</v>
      </c>
      <c r="AL54" s="48"/>
      <c r="AM54" s="73">
        <f t="shared" si="47"/>
        <v>0</v>
      </c>
      <c r="AN54" s="48"/>
      <c r="AO54" s="73">
        <f t="shared" si="48"/>
        <v>0</v>
      </c>
      <c r="AP54" s="2"/>
      <c r="AQ54" s="48"/>
      <c r="AR54" s="73">
        <f t="shared" si="49"/>
        <v>0</v>
      </c>
      <c r="AS54" s="48"/>
      <c r="AT54" s="73">
        <f t="shared" si="50"/>
        <v>0</v>
      </c>
      <c r="AU54" s="48"/>
      <c r="AV54" s="73">
        <f t="shared" si="51"/>
        <v>0</v>
      </c>
      <c r="AW54" s="48"/>
      <c r="AX54" s="73">
        <f t="shared" si="52"/>
        <v>0</v>
      </c>
      <c r="AZ54" s="48"/>
      <c r="BA54" s="73">
        <f t="shared" si="24"/>
        <v>0</v>
      </c>
      <c r="BB54" s="48"/>
      <c r="BC54" s="73">
        <f t="shared" si="25"/>
        <v>0</v>
      </c>
      <c r="BD54" s="48"/>
      <c r="BE54" s="73">
        <f t="shared" si="26"/>
        <v>0</v>
      </c>
      <c r="BF54" s="48"/>
      <c r="BG54" s="73">
        <f t="shared" si="27"/>
        <v>0</v>
      </c>
      <c r="BI54" s="48"/>
      <c r="BJ54" s="73">
        <f t="shared" si="19"/>
        <v>0</v>
      </c>
      <c r="BK54" s="48"/>
      <c r="BL54" s="73">
        <f t="shared" si="28"/>
        <v>0</v>
      </c>
      <c r="BM54" s="48"/>
      <c r="BN54" s="73">
        <f t="shared" si="29"/>
        <v>0</v>
      </c>
      <c r="BO54" s="48"/>
      <c r="BP54" s="73">
        <f t="shared" si="30"/>
        <v>0</v>
      </c>
      <c r="BR54" s="48"/>
      <c r="BS54" s="73">
        <f t="shared" si="31"/>
        <v>0</v>
      </c>
      <c r="BT54" s="48"/>
      <c r="BU54" s="73">
        <f t="shared" si="32"/>
        <v>0</v>
      </c>
      <c r="BW54" s="48"/>
      <c r="BX54" s="73">
        <f t="shared" si="33"/>
        <v>0</v>
      </c>
      <c r="BZ54" s="48"/>
      <c r="CA54" s="73">
        <f t="shared" si="34"/>
        <v>0</v>
      </c>
    </row>
    <row r="55" spans="1:79" thickBot="1">
      <c r="A55" s="24">
        <v>49</v>
      </c>
      <c r="B55" s="39"/>
      <c r="C55" s="44"/>
      <c r="D55" s="56"/>
      <c r="E55" s="70">
        <f t="shared" si="20"/>
        <v>0</v>
      </c>
      <c r="F55" s="70">
        <f t="shared" si="21"/>
        <v>0</v>
      </c>
      <c r="G55" s="71">
        <f t="shared" si="22"/>
        <v>0</v>
      </c>
      <c r="H55" s="71">
        <f t="shared" si="23"/>
        <v>0</v>
      </c>
      <c r="I55" s="72">
        <f t="shared" si="0"/>
        <v>0</v>
      </c>
      <c r="J55" s="150"/>
      <c r="K55" s="48"/>
      <c r="L55" s="73">
        <f t="shared" si="35"/>
        <v>0</v>
      </c>
      <c r="M55" s="48"/>
      <c r="N55" s="73">
        <f t="shared" si="36"/>
        <v>0</v>
      </c>
      <c r="P55" s="48"/>
      <c r="Q55" s="73">
        <f t="shared" si="37"/>
        <v>0</v>
      </c>
      <c r="R55" s="48"/>
      <c r="S55" s="73">
        <f t="shared" si="38"/>
        <v>0</v>
      </c>
      <c r="T55" s="48"/>
      <c r="U55" s="73">
        <f t="shared" si="39"/>
        <v>0</v>
      </c>
      <c r="V55" s="48"/>
      <c r="W55" s="73">
        <f t="shared" si="40"/>
        <v>0</v>
      </c>
      <c r="Y55" s="48"/>
      <c r="Z55" s="73">
        <f t="shared" si="41"/>
        <v>0</v>
      </c>
      <c r="AA55" s="48"/>
      <c r="AB55" s="73">
        <f t="shared" si="42"/>
        <v>0</v>
      </c>
      <c r="AC55" s="48"/>
      <c r="AD55" s="73">
        <f t="shared" si="43"/>
        <v>0</v>
      </c>
      <c r="AE55" s="48"/>
      <c r="AF55" s="73">
        <f t="shared" si="44"/>
        <v>0</v>
      </c>
      <c r="AG55" s="2"/>
      <c r="AH55" s="48"/>
      <c r="AI55" s="73">
        <f t="shared" si="45"/>
        <v>0</v>
      </c>
      <c r="AJ55" s="48"/>
      <c r="AK55" s="73">
        <f t="shared" si="46"/>
        <v>0</v>
      </c>
      <c r="AL55" s="48"/>
      <c r="AM55" s="73">
        <f t="shared" si="47"/>
        <v>0</v>
      </c>
      <c r="AN55" s="48"/>
      <c r="AO55" s="73">
        <f t="shared" si="48"/>
        <v>0</v>
      </c>
      <c r="AP55" s="2"/>
      <c r="AQ55" s="48"/>
      <c r="AR55" s="73">
        <f t="shared" si="49"/>
        <v>0</v>
      </c>
      <c r="AS55" s="48"/>
      <c r="AT55" s="73">
        <f t="shared" si="50"/>
        <v>0</v>
      </c>
      <c r="AU55" s="48"/>
      <c r="AV55" s="73">
        <f t="shared" si="51"/>
        <v>0</v>
      </c>
      <c r="AW55" s="48"/>
      <c r="AX55" s="73">
        <f t="shared" si="52"/>
        <v>0</v>
      </c>
      <c r="AZ55" s="48"/>
      <c r="BA55" s="73">
        <f t="shared" si="24"/>
        <v>0</v>
      </c>
      <c r="BB55" s="48"/>
      <c r="BC55" s="73">
        <f t="shared" si="25"/>
        <v>0</v>
      </c>
      <c r="BD55" s="48"/>
      <c r="BE55" s="73">
        <f t="shared" si="26"/>
        <v>0</v>
      </c>
      <c r="BF55" s="48"/>
      <c r="BG55" s="73">
        <f t="shared" si="27"/>
        <v>0</v>
      </c>
      <c r="BI55" s="48"/>
      <c r="BJ55" s="73">
        <f t="shared" si="19"/>
        <v>0</v>
      </c>
      <c r="BK55" s="48"/>
      <c r="BL55" s="73">
        <f t="shared" si="28"/>
        <v>0</v>
      </c>
      <c r="BM55" s="48"/>
      <c r="BN55" s="73">
        <f t="shared" si="29"/>
        <v>0</v>
      </c>
      <c r="BO55" s="48"/>
      <c r="BP55" s="73">
        <f t="shared" si="30"/>
        <v>0</v>
      </c>
      <c r="BR55" s="48"/>
      <c r="BS55" s="73">
        <f t="shared" si="31"/>
        <v>0</v>
      </c>
      <c r="BT55" s="48"/>
      <c r="BU55" s="73">
        <f t="shared" si="32"/>
        <v>0</v>
      </c>
      <c r="BW55" s="48"/>
      <c r="BX55" s="73">
        <f t="shared" si="33"/>
        <v>0</v>
      </c>
      <c r="BZ55" s="48"/>
      <c r="CA55" s="73">
        <f t="shared" si="34"/>
        <v>0</v>
      </c>
    </row>
    <row r="56" spans="1:79" thickBot="1">
      <c r="A56" s="21">
        <v>50</v>
      </c>
      <c r="B56" s="39"/>
      <c r="C56" s="44"/>
      <c r="D56" s="40"/>
      <c r="E56" s="70">
        <f t="shared" si="20"/>
        <v>0</v>
      </c>
      <c r="F56" s="70">
        <f t="shared" si="21"/>
        <v>0</v>
      </c>
      <c r="G56" s="71">
        <f t="shared" si="22"/>
        <v>0</v>
      </c>
      <c r="H56" s="71">
        <f t="shared" si="23"/>
        <v>0</v>
      </c>
      <c r="I56" s="72">
        <f t="shared" si="0"/>
        <v>0</v>
      </c>
      <c r="J56" s="150"/>
      <c r="K56" s="48"/>
      <c r="L56" s="73">
        <f t="shared" si="35"/>
        <v>0</v>
      </c>
      <c r="M56" s="48"/>
      <c r="N56" s="73">
        <f t="shared" si="36"/>
        <v>0</v>
      </c>
      <c r="P56" s="48"/>
      <c r="Q56" s="73">
        <f t="shared" si="37"/>
        <v>0</v>
      </c>
      <c r="R56" s="48"/>
      <c r="S56" s="73">
        <f t="shared" si="38"/>
        <v>0</v>
      </c>
      <c r="T56" s="48"/>
      <c r="U56" s="73">
        <f t="shared" si="39"/>
        <v>0</v>
      </c>
      <c r="V56" s="48"/>
      <c r="W56" s="73">
        <f t="shared" si="40"/>
        <v>0</v>
      </c>
      <c r="Y56" s="48"/>
      <c r="Z56" s="73">
        <f t="shared" si="41"/>
        <v>0</v>
      </c>
      <c r="AA56" s="48"/>
      <c r="AB56" s="73">
        <f t="shared" si="42"/>
        <v>0</v>
      </c>
      <c r="AC56" s="48"/>
      <c r="AD56" s="73">
        <f t="shared" si="43"/>
        <v>0</v>
      </c>
      <c r="AE56" s="48"/>
      <c r="AF56" s="73">
        <f t="shared" si="44"/>
        <v>0</v>
      </c>
      <c r="AG56" s="2"/>
      <c r="AH56" s="48"/>
      <c r="AI56" s="73">
        <f t="shared" si="45"/>
        <v>0</v>
      </c>
      <c r="AJ56" s="48"/>
      <c r="AK56" s="73">
        <f t="shared" si="46"/>
        <v>0</v>
      </c>
      <c r="AL56" s="48"/>
      <c r="AM56" s="73">
        <f t="shared" si="47"/>
        <v>0</v>
      </c>
      <c r="AN56" s="48"/>
      <c r="AO56" s="73">
        <f t="shared" si="48"/>
        <v>0</v>
      </c>
      <c r="AP56" s="2"/>
      <c r="AQ56" s="48"/>
      <c r="AR56" s="73">
        <f t="shared" si="49"/>
        <v>0</v>
      </c>
      <c r="AS56" s="48"/>
      <c r="AT56" s="73">
        <f t="shared" si="50"/>
        <v>0</v>
      </c>
      <c r="AU56" s="48"/>
      <c r="AV56" s="73">
        <f t="shared" si="51"/>
        <v>0</v>
      </c>
      <c r="AW56" s="48"/>
      <c r="AX56" s="73">
        <f t="shared" si="52"/>
        <v>0</v>
      </c>
      <c r="AZ56" s="48"/>
      <c r="BA56" s="73">
        <f t="shared" si="24"/>
        <v>0</v>
      </c>
      <c r="BB56" s="48"/>
      <c r="BC56" s="73">
        <f t="shared" si="25"/>
        <v>0</v>
      </c>
      <c r="BD56" s="48"/>
      <c r="BE56" s="73">
        <f t="shared" si="26"/>
        <v>0</v>
      </c>
      <c r="BF56" s="48"/>
      <c r="BG56" s="73">
        <f t="shared" si="27"/>
        <v>0</v>
      </c>
      <c r="BI56" s="48"/>
      <c r="BJ56" s="73">
        <f t="shared" si="19"/>
        <v>0</v>
      </c>
      <c r="BK56" s="48"/>
      <c r="BL56" s="73">
        <f t="shared" si="28"/>
        <v>0</v>
      </c>
      <c r="BM56" s="48"/>
      <c r="BN56" s="73">
        <f t="shared" si="29"/>
        <v>0</v>
      </c>
      <c r="BO56" s="48"/>
      <c r="BP56" s="73">
        <f t="shared" si="30"/>
        <v>0</v>
      </c>
      <c r="BR56" s="48"/>
      <c r="BS56" s="73">
        <f t="shared" si="31"/>
        <v>0</v>
      </c>
      <c r="BT56" s="48"/>
      <c r="BU56" s="73">
        <f t="shared" si="32"/>
        <v>0</v>
      </c>
      <c r="BW56" s="48"/>
      <c r="BX56" s="73">
        <f t="shared" si="33"/>
        <v>0</v>
      </c>
      <c r="BZ56" s="48"/>
      <c r="CA56" s="73">
        <f t="shared" si="34"/>
        <v>0</v>
      </c>
    </row>
    <row r="57" spans="1:79" thickBot="1">
      <c r="A57" s="24">
        <v>51</v>
      </c>
      <c r="B57" s="39"/>
      <c r="C57" s="44"/>
      <c r="D57" s="40"/>
      <c r="E57" s="70">
        <f t="shared" si="20"/>
        <v>0</v>
      </c>
      <c r="F57" s="70">
        <f t="shared" si="21"/>
        <v>0</v>
      </c>
      <c r="G57" s="71">
        <f t="shared" si="22"/>
        <v>0</v>
      </c>
      <c r="H57" s="71">
        <f t="shared" si="23"/>
        <v>0</v>
      </c>
      <c r="I57" s="72">
        <f t="shared" si="0"/>
        <v>0</v>
      </c>
      <c r="J57" s="150"/>
      <c r="K57" s="48"/>
      <c r="L57" s="73">
        <f t="shared" si="35"/>
        <v>0</v>
      </c>
      <c r="M57" s="48"/>
      <c r="N57" s="73">
        <f t="shared" si="36"/>
        <v>0</v>
      </c>
      <c r="P57" s="48"/>
      <c r="Q57" s="73">
        <f t="shared" si="37"/>
        <v>0</v>
      </c>
      <c r="R57" s="48"/>
      <c r="S57" s="73">
        <f t="shared" si="38"/>
        <v>0</v>
      </c>
      <c r="T57" s="48"/>
      <c r="U57" s="73">
        <f t="shared" si="39"/>
        <v>0</v>
      </c>
      <c r="V57" s="48"/>
      <c r="W57" s="73">
        <f t="shared" si="40"/>
        <v>0</v>
      </c>
      <c r="Y57" s="48"/>
      <c r="Z57" s="73">
        <f t="shared" si="41"/>
        <v>0</v>
      </c>
      <c r="AA57" s="48"/>
      <c r="AB57" s="73">
        <f t="shared" si="42"/>
        <v>0</v>
      </c>
      <c r="AC57" s="48"/>
      <c r="AD57" s="73">
        <f t="shared" si="43"/>
        <v>0</v>
      </c>
      <c r="AE57" s="48"/>
      <c r="AF57" s="73">
        <f t="shared" si="44"/>
        <v>0</v>
      </c>
      <c r="AG57" s="2"/>
      <c r="AH57" s="48"/>
      <c r="AI57" s="73">
        <f t="shared" si="45"/>
        <v>0</v>
      </c>
      <c r="AJ57" s="48"/>
      <c r="AK57" s="73">
        <f t="shared" si="46"/>
        <v>0</v>
      </c>
      <c r="AL57" s="48"/>
      <c r="AM57" s="73">
        <f t="shared" si="47"/>
        <v>0</v>
      </c>
      <c r="AN57" s="48"/>
      <c r="AO57" s="73">
        <f t="shared" si="48"/>
        <v>0</v>
      </c>
      <c r="AP57" s="2"/>
      <c r="AQ57" s="48"/>
      <c r="AR57" s="73">
        <f t="shared" si="49"/>
        <v>0</v>
      </c>
      <c r="AS57" s="48"/>
      <c r="AT57" s="73">
        <f t="shared" si="50"/>
        <v>0</v>
      </c>
      <c r="AU57" s="48"/>
      <c r="AV57" s="73">
        <f t="shared" si="51"/>
        <v>0</v>
      </c>
      <c r="AW57" s="48"/>
      <c r="AX57" s="73">
        <f t="shared" si="52"/>
        <v>0</v>
      </c>
      <c r="AZ57" s="48"/>
      <c r="BA57" s="73">
        <f t="shared" si="24"/>
        <v>0</v>
      </c>
      <c r="BB57" s="48"/>
      <c r="BC57" s="73">
        <f t="shared" si="25"/>
        <v>0</v>
      </c>
      <c r="BD57" s="48"/>
      <c r="BE57" s="73">
        <f t="shared" si="26"/>
        <v>0</v>
      </c>
      <c r="BF57" s="48"/>
      <c r="BG57" s="73">
        <f t="shared" si="27"/>
        <v>0</v>
      </c>
      <c r="BI57" s="48"/>
      <c r="BJ57" s="73">
        <f t="shared" si="19"/>
        <v>0</v>
      </c>
      <c r="BK57" s="48"/>
      <c r="BL57" s="73">
        <f t="shared" si="28"/>
        <v>0</v>
      </c>
      <c r="BM57" s="48"/>
      <c r="BN57" s="73">
        <f t="shared" si="29"/>
        <v>0</v>
      </c>
      <c r="BO57" s="48"/>
      <c r="BP57" s="73">
        <f t="shared" si="30"/>
        <v>0</v>
      </c>
      <c r="BR57" s="48"/>
      <c r="BS57" s="73">
        <f t="shared" si="31"/>
        <v>0</v>
      </c>
      <c r="BT57" s="48"/>
      <c r="BU57" s="73">
        <f t="shared" si="32"/>
        <v>0</v>
      </c>
      <c r="BW57" s="48"/>
      <c r="BX57" s="73">
        <f t="shared" si="33"/>
        <v>0</v>
      </c>
      <c r="BZ57" s="48"/>
      <c r="CA57" s="73">
        <f t="shared" si="34"/>
        <v>0</v>
      </c>
    </row>
    <row r="58" spans="1:79" thickBot="1">
      <c r="A58" s="21">
        <v>52</v>
      </c>
      <c r="B58" s="39"/>
      <c r="C58" s="40"/>
      <c r="D58" s="56"/>
      <c r="E58" s="70">
        <f t="shared" si="20"/>
        <v>0</v>
      </c>
      <c r="F58" s="70">
        <f t="shared" si="21"/>
        <v>0</v>
      </c>
      <c r="G58" s="71">
        <f t="shared" si="22"/>
        <v>0</v>
      </c>
      <c r="H58" s="71">
        <f t="shared" si="23"/>
        <v>0</v>
      </c>
      <c r="I58" s="72">
        <f t="shared" si="0"/>
        <v>0</v>
      </c>
      <c r="J58" s="150"/>
      <c r="K58" s="48"/>
      <c r="L58" s="73">
        <f t="shared" si="35"/>
        <v>0</v>
      </c>
      <c r="M58" s="48"/>
      <c r="N58" s="73">
        <f t="shared" si="36"/>
        <v>0</v>
      </c>
      <c r="P58" s="48"/>
      <c r="Q58" s="73">
        <f t="shared" si="37"/>
        <v>0</v>
      </c>
      <c r="R58" s="48"/>
      <c r="S58" s="73">
        <f t="shared" si="38"/>
        <v>0</v>
      </c>
      <c r="T58" s="48"/>
      <c r="U58" s="73">
        <f t="shared" si="39"/>
        <v>0</v>
      </c>
      <c r="V58" s="48"/>
      <c r="W58" s="73">
        <f t="shared" si="40"/>
        <v>0</v>
      </c>
      <c r="Y58" s="48"/>
      <c r="Z58" s="73">
        <f t="shared" si="41"/>
        <v>0</v>
      </c>
      <c r="AA58" s="48"/>
      <c r="AB58" s="73">
        <f t="shared" si="42"/>
        <v>0</v>
      </c>
      <c r="AC58" s="48"/>
      <c r="AD58" s="73">
        <f t="shared" si="43"/>
        <v>0</v>
      </c>
      <c r="AE58" s="48"/>
      <c r="AF58" s="73">
        <f t="shared" si="44"/>
        <v>0</v>
      </c>
      <c r="AG58" s="2"/>
      <c r="AH58" s="48"/>
      <c r="AI58" s="73">
        <f t="shared" si="45"/>
        <v>0</v>
      </c>
      <c r="AJ58" s="48"/>
      <c r="AK58" s="73">
        <f t="shared" si="46"/>
        <v>0</v>
      </c>
      <c r="AL58" s="48"/>
      <c r="AM58" s="73">
        <f t="shared" si="47"/>
        <v>0</v>
      </c>
      <c r="AN58" s="48"/>
      <c r="AO58" s="73">
        <f t="shared" si="48"/>
        <v>0</v>
      </c>
      <c r="AP58" s="2"/>
      <c r="AQ58" s="48"/>
      <c r="AR58" s="73">
        <f t="shared" si="49"/>
        <v>0</v>
      </c>
      <c r="AS58" s="48"/>
      <c r="AT58" s="73">
        <f t="shared" si="50"/>
        <v>0</v>
      </c>
      <c r="AU58" s="48"/>
      <c r="AV58" s="73">
        <f t="shared" si="51"/>
        <v>0</v>
      </c>
      <c r="AW58" s="48"/>
      <c r="AX58" s="73">
        <f t="shared" si="52"/>
        <v>0</v>
      </c>
      <c r="AZ58" s="48"/>
      <c r="BA58" s="73">
        <f t="shared" si="24"/>
        <v>0</v>
      </c>
      <c r="BB58" s="48"/>
      <c r="BC58" s="73">
        <f t="shared" si="25"/>
        <v>0</v>
      </c>
      <c r="BD58" s="48"/>
      <c r="BE58" s="73">
        <f t="shared" si="26"/>
        <v>0</v>
      </c>
      <c r="BF58" s="48"/>
      <c r="BG58" s="73">
        <f t="shared" si="27"/>
        <v>0</v>
      </c>
      <c r="BI58" s="48"/>
      <c r="BJ58" s="73">
        <f t="shared" si="19"/>
        <v>0</v>
      </c>
      <c r="BK58" s="48"/>
      <c r="BL58" s="73">
        <f t="shared" si="28"/>
        <v>0</v>
      </c>
      <c r="BM58" s="48"/>
      <c r="BN58" s="73">
        <f t="shared" si="29"/>
        <v>0</v>
      </c>
      <c r="BO58" s="48"/>
      <c r="BP58" s="73">
        <f t="shared" si="30"/>
        <v>0</v>
      </c>
      <c r="BR58" s="48"/>
      <c r="BS58" s="73">
        <f t="shared" si="31"/>
        <v>0</v>
      </c>
      <c r="BT58" s="48"/>
      <c r="BU58" s="73">
        <f t="shared" si="32"/>
        <v>0</v>
      </c>
      <c r="BW58" s="48"/>
      <c r="BX58" s="73">
        <f t="shared" si="33"/>
        <v>0</v>
      </c>
      <c r="BZ58" s="48"/>
      <c r="CA58" s="73">
        <f t="shared" si="34"/>
        <v>0</v>
      </c>
    </row>
    <row r="59" spans="1:79" thickBot="1">
      <c r="A59" s="24">
        <v>53</v>
      </c>
      <c r="B59" s="39"/>
      <c r="C59" s="40"/>
      <c r="D59" s="56"/>
      <c r="E59" s="70">
        <f t="shared" si="20"/>
        <v>0</v>
      </c>
      <c r="F59" s="70">
        <f t="shared" si="21"/>
        <v>0</v>
      </c>
      <c r="G59" s="71">
        <f t="shared" si="22"/>
        <v>0</v>
      </c>
      <c r="H59" s="71">
        <f t="shared" si="23"/>
        <v>0</v>
      </c>
      <c r="I59" s="72">
        <f t="shared" si="0"/>
        <v>0</v>
      </c>
      <c r="J59" s="150"/>
      <c r="K59" s="48"/>
      <c r="L59" s="73">
        <f t="shared" si="35"/>
        <v>0</v>
      </c>
      <c r="M59" s="48"/>
      <c r="N59" s="73">
        <f t="shared" si="36"/>
        <v>0</v>
      </c>
      <c r="P59" s="48"/>
      <c r="Q59" s="73">
        <f t="shared" si="37"/>
        <v>0</v>
      </c>
      <c r="R59" s="48"/>
      <c r="S59" s="73">
        <f t="shared" si="38"/>
        <v>0</v>
      </c>
      <c r="T59" s="48"/>
      <c r="U59" s="73">
        <f t="shared" si="39"/>
        <v>0</v>
      </c>
      <c r="V59" s="48"/>
      <c r="W59" s="73">
        <f t="shared" si="40"/>
        <v>0</v>
      </c>
      <c r="Y59" s="48"/>
      <c r="Z59" s="73">
        <f t="shared" si="41"/>
        <v>0</v>
      </c>
      <c r="AA59" s="48"/>
      <c r="AB59" s="73">
        <f t="shared" si="42"/>
        <v>0</v>
      </c>
      <c r="AC59" s="48"/>
      <c r="AD59" s="73">
        <f t="shared" si="43"/>
        <v>0</v>
      </c>
      <c r="AE59" s="48"/>
      <c r="AF59" s="73">
        <f t="shared" si="44"/>
        <v>0</v>
      </c>
      <c r="AG59" s="2"/>
      <c r="AH59" s="48"/>
      <c r="AI59" s="73">
        <f t="shared" si="45"/>
        <v>0</v>
      </c>
      <c r="AJ59" s="48"/>
      <c r="AK59" s="73">
        <f t="shared" si="46"/>
        <v>0</v>
      </c>
      <c r="AL59" s="48"/>
      <c r="AM59" s="73">
        <f t="shared" si="47"/>
        <v>0</v>
      </c>
      <c r="AN59" s="48"/>
      <c r="AO59" s="73">
        <f t="shared" si="48"/>
        <v>0</v>
      </c>
      <c r="AP59" s="2"/>
      <c r="AQ59" s="48"/>
      <c r="AR59" s="73">
        <f t="shared" si="49"/>
        <v>0</v>
      </c>
      <c r="AS59" s="48"/>
      <c r="AT59" s="73">
        <f t="shared" si="50"/>
        <v>0</v>
      </c>
      <c r="AU59" s="48"/>
      <c r="AV59" s="73">
        <f t="shared" si="51"/>
        <v>0</v>
      </c>
      <c r="AW59" s="48"/>
      <c r="AX59" s="73">
        <f t="shared" si="52"/>
        <v>0</v>
      </c>
      <c r="AZ59" s="48"/>
      <c r="BA59" s="73">
        <f t="shared" si="24"/>
        <v>0</v>
      </c>
      <c r="BB59" s="48"/>
      <c r="BC59" s="73">
        <f t="shared" si="25"/>
        <v>0</v>
      </c>
      <c r="BD59" s="48"/>
      <c r="BE59" s="73">
        <f t="shared" si="26"/>
        <v>0</v>
      </c>
      <c r="BF59" s="48"/>
      <c r="BG59" s="73">
        <f t="shared" si="27"/>
        <v>0</v>
      </c>
      <c r="BI59" s="48"/>
      <c r="BJ59" s="73">
        <f t="shared" si="19"/>
        <v>0</v>
      </c>
      <c r="BK59" s="48"/>
      <c r="BL59" s="73">
        <f t="shared" si="28"/>
        <v>0</v>
      </c>
      <c r="BM59" s="48"/>
      <c r="BN59" s="73">
        <f t="shared" si="29"/>
        <v>0</v>
      </c>
      <c r="BO59" s="48"/>
      <c r="BP59" s="73">
        <f t="shared" si="30"/>
        <v>0</v>
      </c>
      <c r="BR59" s="48"/>
      <c r="BS59" s="73">
        <f t="shared" si="31"/>
        <v>0</v>
      </c>
      <c r="BT59" s="48"/>
      <c r="BU59" s="73">
        <f t="shared" si="32"/>
        <v>0</v>
      </c>
      <c r="BW59" s="48"/>
      <c r="BX59" s="73">
        <f t="shared" si="33"/>
        <v>0</v>
      </c>
      <c r="BZ59" s="48"/>
      <c r="CA59" s="73">
        <f t="shared" si="34"/>
        <v>0</v>
      </c>
    </row>
    <row r="60" spans="1:79" thickBot="1">
      <c r="A60" s="21">
        <v>54</v>
      </c>
      <c r="B60" s="39"/>
      <c r="C60" s="40"/>
      <c r="D60" s="56"/>
      <c r="E60" s="70">
        <f t="shared" si="20"/>
        <v>0</v>
      </c>
      <c r="F60" s="70">
        <f t="shared" si="21"/>
        <v>0</v>
      </c>
      <c r="G60" s="71">
        <f t="shared" si="22"/>
        <v>0</v>
      </c>
      <c r="H60" s="71">
        <f t="shared" si="23"/>
        <v>0</v>
      </c>
      <c r="I60" s="72">
        <f t="shared" si="0"/>
        <v>0</v>
      </c>
      <c r="J60" s="150"/>
      <c r="K60" s="48"/>
      <c r="L60" s="73">
        <f t="shared" si="35"/>
        <v>0</v>
      </c>
      <c r="M60" s="48"/>
      <c r="N60" s="73">
        <f t="shared" si="36"/>
        <v>0</v>
      </c>
      <c r="P60" s="48"/>
      <c r="Q60" s="73">
        <f t="shared" si="37"/>
        <v>0</v>
      </c>
      <c r="R60" s="48"/>
      <c r="S60" s="73">
        <f t="shared" si="38"/>
        <v>0</v>
      </c>
      <c r="T60" s="48"/>
      <c r="U60" s="73">
        <f t="shared" si="39"/>
        <v>0</v>
      </c>
      <c r="V60" s="48"/>
      <c r="W60" s="73">
        <f t="shared" si="40"/>
        <v>0</v>
      </c>
      <c r="Y60" s="48"/>
      <c r="Z60" s="73">
        <f t="shared" si="41"/>
        <v>0</v>
      </c>
      <c r="AA60" s="48"/>
      <c r="AB60" s="73">
        <f t="shared" si="42"/>
        <v>0</v>
      </c>
      <c r="AC60" s="48"/>
      <c r="AD60" s="73">
        <f t="shared" si="43"/>
        <v>0</v>
      </c>
      <c r="AE60" s="48"/>
      <c r="AF60" s="73">
        <f t="shared" si="44"/>
        <v>0</v>
      </c>
      <c r="AG60" s="2"/>
      <c r="AH60" s="48"/>
      <c r="AI60" s="73">
        <f t="shared" si="45"/>
        <v>0</v>
      </c>
      <c r="AJ60" s="48"/>
      <c r="AK60" s="73">
        <f t="shared" si="46"/>
        <v>0</v>
      </c>
      <c r="AL60" s="48"/>
      <c r="AM60" s="73">
        <f t="shared" si="47"/>
        <v>0</v>
      </c>
      <c r="AN60" s="48"/>
      <c r="AO60" s="73">
        <f t="shared" si="48"/>
        <v>0</v>
      </c>
      <c r="AP60" s="2"/>
      <c r="AQ60" s="48"/>
      <c r="AR60" s="73">
        <f t="shared" si="49"/>
        <v>0</v>
      </c>
      <c r="AS60" s="48"/>
      <c r="AT60" s="73">
        <f t="shared" si="50"/>
        <v>0</v>
      </c>
      <c r="AU60" s="48"/>
      <c r="AV60" s="73">
        <f t="shared" si="51"/>
        <v>0</v>
      </c>
      <c r="AW60" s="48"/>
      <c r="AX60" s="73">
        <f t="shared" si="52"/>
        <v>0</v>
      </c>
      <c r="AZ60" s="48"/>
      <c r="BA60" s="73">
        <f t="shared" si="24"/>
        <v>0</v>
      </c>
      <c r="BB60" s="48"/>
      <c r="BC60" s="73">
        <f t="shared" si="25"/>
        <v>0</v>
      </c>
      <c r="BD60" s="48"/>
      <c r="BE60" s="73">
        <f t="shared" si="26"/>
        <v>0</v>
      </c>
      <c r="BF60" s="48"/>
      <c r="BG60" s="73">
        <f t="shared" si="27"/>
        <v>0</v>
      </c>
      <c r="BI60" s="48"/>
      <c r="BJ60" s="73">
        <f t="shared" si="19"/>
        <v>0</v>
      </c>
      <c r="BK60" s="48"/>
      <c r="BL60" s="73">
        <f t="shared" si="28"/>
        <v>0</v>
      </c>
      <c r="BM60" s="48"/>
      <c r="BN60" s="73">
        <f t="shared" si="29"/>
        <v>0</v>
      </c>
      <c r="BO60" s="48"/>
      <c r="BP60" s="73">
        <f t="shared" si="30"/>
        <v>0</v>
      </c>
      <c r="BR60" s="48"/>
      <c r="BS60" s="73">
        <f t="shared" si="31"/>
        <v>0</v>
      </c>
      <c r="BT60" s="48"/>
      <c r="BU60" s="73">
        <f t="shared" si="32"/>
        <v>0</v>
      </c>
      <c r="BW60" s="48"/>
      <c r="BX60" s="73">
        <f t="shared" si="33"/>
        <v>0</v>
      </c>
      <c r="BZ60" s="48"/>
      <c r="CA60" s="73">
        <f t="shared" si="34"/>
        <v>0</v>
      </c>
    </row>
    <row r="61" spans="1:79" thickBot="1">
      <c r="A61" s="24">
        <v>55</v>
      </c>
      <c r="B61" s="39"/>
      <c r="C61" s="40"/>
      <c r="D61" s="56"/>
      <c r="E61" s="70">
        <f t="shared" si="20"/>
        <v>0</v>
      </c>
      <c r="F61" s="70">
        <f t="shared" si="21"/>
        <v>0</v>
      </c>
      <c r="G61" s="71">
        <f t="shared" si="22"/>
        <v>0</v>
      </c>
      <c r="H61" s="71">
        <f t="shared" si="23"/>
        <v>0</v>
      </c>
      <c r="I61" s="72">
        <f t="shared" si="0"/>
        <v>0</v>
      </c>
      <c r="J61" s="150"/>
      <c r="K61" s="48"/>
      <c r="L61" s="73">
        <f t="shared" si="35"/>
        <v>0</v>
      </c>
      <c r="M61" s="48"/>
      <c r="N61" s="73">
        <f t="shared" si="36"/>
        <v>0</v>
      </c>
      <c r="P61" s="48"/>
      <c r="Q61" s="73">
        <f t="shared" si="37"/>
        <v>0</v>
      </c>
      <c r="R61" s="48"/>
      <c r="S61" s="73">
        <f t="shared" si="38"/>
        <v>0</v>
      </c>
      <c r="T61" s="48"/>
      <c r="U61" s="73">
        <f t="shared" si="39"/>
        <v>0</v>
      </c>
      <c r="V61" s="48"/>
      <c r="W61" s="73">
        <f t="shared" si="40"/>
        <v>0</v>
      </c>
      <c r="Y61" s="48"/>
      <c r="Z61" s="73">
        <f t="shared" si="41"/>
        <v>0</v>
      </c>
      <c r="AA61" s="48"/>
      <c r="AB61" s="73">
        <f t="shared" si="42"/>
        <v>0</v>
      </c>
      <c r="AC61" s="48"/>
      <c r="AD61" s="73">
        <f t="shared" si="43"/>
        <v>0</v>
      </c>
      <c r="AE61" s="48"/>
      <c r="AF61" s="73">
        <f t="shared" si="44"/>
        <v>0</v>
      </c>
      <c r="AG61" s="2"/>
      <c r="AH61" s="48"/>
      <c r="AI61" s="73">
        <f t="shared" si="45"/>
        <v>0</v>
      </c>
      <c r="AJ61" s="48"/>
      <c r="AK61" s="73">
        <f t="shared" si="46"/>
        <v>0</v>
      </c>
      <c r="AL61" s="48"/>
      <c r="AM61" s="73">
        <f t="shared" si="47"/>
        <v>0</v>
      </c>
      <c r="AN61" s="48"/>
      <c r="AO61" s="73">
        <f t="shared" si="48"/>
        <v>0</v>
      </c>
      <c r="AP61" s="2"/>
      <c r="AQ61" s="48"/>
      <c r="AR61" s="73">
        <f t="shared" si="49"/>
        <v>0</v>
      </c>
      <c r="AS61" s="48"/>
      <c r="AT61" s="73">
        <f t="shared" si="50"/>
        <v>0</v>
      </c>
      <c r="AU61" s="48"/>
      <c r="AV61" s="73">
        <f t="shared" si="51"/>
        <v>0</v>
      </c>
      <c r="AW61" s="48"/>
      <c r="AX61" s="73">
        <f t="shared" si="52"/>
        <v>0</v>
      </c>
      <c r="AZ61" s="48"/>
      <c r="BA61" s="73">
        <f t="shared" si="24"/>
        <v>0</v>
      </c>
      <c r="BB61" s="48"/>
      <c r="BC61" s="73">
        <f t="shared" si="25"/>
        <v>0</v>
      </c>
      <c r="BD61" s="48"/>
      <c r="BE61" s="73">
        <f t="shared" si="26"/>
        <v>0</v>
      </c>
      <c r="BF61" s="48"/>
      <c r="BG61" s="73">
        <f t="shared" si="27"/>
        <v>0</v>
      </c>
      <c r="BI61" s="48"/>
      <c r="BJ61" s="73">
        <f t="shared" si="19"/>
        <v>0</v>
      </c>
      <c r="BK61" s="48"/>
      <c r="BL61" s="73">
        <f t="shared" si="28"/>
        <v>0</v>
      </c>
      <c r="BM61" s="48"/>
      <c r="BN61" s="73">
        <f t="shared" si="29"/>
        <v>0</v>
      </c>
      <c r="BO61" s="48"/>
      <c r="BP61" s="73">
        <f t="shared" si="30"/>
        <v>0</v>
      </c>
      <c r="BR61" s="48"/>
      <c r="BS61" s="73">
        <f t="shared" si="31"/>
        <v>0</v>
      </c>
      <c r="BT61" s="48"/>
      <c r="BU61" s="73">
        <f t="shared" si="32"/>
        <v>0</v>
      </c>
      <c r="BW61" s="48"/>
      <c r="BX61" s="73">
        <f t="shared" si="33"/>
        <v>0</v>
      </c>
      <c r="BZ61" s="48"/>
      <c r="CA61" s="73">
        <f t="shared" si="34"/>
        <v>0</v>
      </c>
    </row>
    <row r="62" spans="1:79" thickBot="1">
      <c r="A62" s="21">
        <v>56</v>
      </c>
      <c r="B62" s="39"/>
      <c r="C62" s="40"/>
      <c r="D62" s="56"/>
      <c r="E62" s="70">
        <f t="shared" si="20"/>
        <v>0</v>
      </c>
      <c r="F62" s="70">
        <f t="shared" si="21"/>
        <v>0</v>
      </c>
      <c r="G62" s="71">
        <f t="shared" si="22"/>
        <v>0</v>
      </c>
      <c r="H62" s="71">
        <f t="shared" si="23"/>
        <v>0</v>
      </c>
      <c r="I62" s="72">
        <f t="shared" si="0"/>
        <v>0</v>
      </c>
      <c r="J62" s="150"/>
      <c r="K62" s="48"/>
      <c r="L62" s="73">
        <f t="shared" si="35"/>
        <v>0</v>
      </c>
      <c r="M62" s="48"/>
      <c r="N62" s="73">
        <f t="shared" si="36"/>
        <v>0</v>
      </c>
      <c r="P62" s="48"/>
      <c r="Q62" s="73">
        <f t="shared" si="37"/>
        <v>0</v>
      </c>
      <c r="R62" s="48"/>
      <c r="S62" s="73">
        <f t="shared" si="38"/>
        <v>0</v>
      </c>
      <c r="T62" s="48"/>
      <c r="U62" s="73">
        <f t="shared" si="39"/>
        <v>0</v>
      </c>
      <c r="V62" s="48"/>
      <c r="W62" s="73">
        <f t="shared" si="40"/>
        <v>0</v>
      </c>
      <c r="Y62" s="48"/>
      <c r="Z62" s="73">
        <f t="shared" si="41"/>
        <v>0</v>
      </c>
      <c r="AA62" s="48"/>
      <c r="AB62" s="73">
        <f t="shared" si="42"/>
        <v>0</v>
      </c>
      <c r="AC62" s="48"/>
      <c r="AD62" s="73">
        <f t="shared" si="43"/>
        <v>0</v>
      </c>
      <c r="AE62" s="48"/>
      <c r="AF62" s="73">
        <f t="shared" si="44"/>
        <v>0</v>
      </c>
      <c r="AG62" s="2"/>
      <c r="AH62" s="48"/>
      <c r="AI62" s="73">
        <f t="shared" si="45"/>
        <v>0</v>
      </c>
      <c r="AJ62" s="48"/>
      <c r="AK62" s="73">
        <f t="shared" si="46"/>
        <v>0</v>
      </c>
      <c r="AL62" s="48"/>
      <c r="AM62" s="73">
        <f t="shared" si="47"/>
        <v>0</v>
      </c>
      <c r="AN62" s="48"/>
      <c r="AO62" s="73">
        <f t="shared" si="48"/>
        <v>0</v>
      </c>
      <c r="AP62" s="2"/>
      <c r="AQ62" s="48"/>
      <c r="AR62" s="73">
        <f t="shared" si="49"/>
        <v>0</v>
      </c>
      <c r="AS62" s="48"/>
      <c r="AT62" s="73">
        <f t="shared" si="50"/>
        <v>0</v>
      </c>
      <c r="AU62" s="48"/>
      <c r="AV62" s="73">
        <f t="shared" si="51"/>
        <v>0</v>
      </c>
      <c r="AW62" s="48"/>
      <c r="AX62" s="73">
        <f t="shared" si="52"/>
        <v>0</v>
      </c>
      <c r="AZ62" s="48"/>
      <c r="BA62" s="73">
        <f t="shared" si="24"/>
        <v>0</v>
      </c>
      <c r="BB62" s="48"/>
      <c r="BC62" s="73">
        <f t="shared" si="25"/>
        <v>0</v>
      </c>
      <c r="BD62" s="48"/>
      <c r="BE62" s="73">
        <f t="shared" si="26"/>
        <v>0</v>
      </c>
      <c r="BF62" s="48"/>
      <c r="BG62" s="73">
        <f t="shared" si="27"/>
        <v>0</v>
      </c>
      <c r="BI62" s="48"/>
      <c r="BJ62" s="73">
        <f t="shared" si="19"/>
        <v>0</v>
      </c>
      <c r="BK62" s="48"/>
      <c r="BL62" s="73">
        <f t="shared" si="28"/>
        <v>0</v>
      </c>
      <c r="BM62" s="48"/>
      <c r="BN62" s="73">
        <f t="shared" si="29"/>
        <v>0</v>
      </c>
      <c r="BO62" s="48"/>
      <c r="BP62" s="73">
        <f t="shared" si="30"/>
        <v>0</v>
      </c>
      <c r="BR62" s="48"/>
      <c r="BS62" s="73">
        <f t="shared" si="31"/>
        <v>0</v>
      </c>
      <c r="BT62" s="48"/>
      <c r="BU62" s="73">
        <f t="shared" si="32"/>
        <v>0</v>
      </c>
      <c r="BW62" s="48"/>
      <c r="BX62" s="73">
        <f t="shared" si="33"/>
        <v>0</v>
      </c>
      <c r="BZ62" s="48"/>
      <c r="CA62" s="73">
        <f t="shared" si="34"/>
        <v>0</v>
      </c>
    </row>
    <row r="63" spans="1:79" thickBot="1">
      <c r="A63" s="24">
        <v>57</v>
      </c>
      <c r="B63" s="39"/>
      <c r="C63" s="40"/>
      <c r="D63" s="56"/>
      <c r="E63" s="70">
        <f t="shared" si="20"/>
        <v>0</v>
      </c>
      <c r="F63" s="70">
        <f t="shared" si="21"/>
        <v>0</v>
      </c>
      <c r="G63" s="71">
        <f t="shared" si="22"/>
        <v>0</v>
      </c>
      <c r="H63" s="71">
        <f t="shared" si="23"/>
        <v>0</v>
      </c>
      <c r="I63" s="72">
        <f t="shared" si="0"/>
        <v>0</v>
      </c>
      <c r="J63" s="150"/>
      <c r="K63" s="48"/>
      <c r="L63" s="73">
        <f t="shared" si="35"/>
        <v>0</v>
      </c>
      <c r="M63" s="48"/>
      <c r="N63" s="73">
        <f t="shared" si="36"/>
        <v>0</v>
      </c>
      <c r="P63" s="48"/>
      <c r="Q63" s="73">
        <f t="shared" si="37"/>
        <v>0</v>
      </c>
      <c r="R63" s="48"/>
      <c r="S63" s="73">
        <f t="shared" si="38"/>
        <v>0</v>
      </c>
      <c r="T63" s="48"/>
      <c r="U63" s="73">
        <f t="shared" si="39"/>
        <v>0</v>
      </c>
      <c r="V63" s="48"/>
      <c r="W63" s="73">
        <f t="shared" si="40"/>
        <v>0</v>
      </c>
      <c r="Y63" s="48"/>
      <c r="Z63" s="73">
        <f t="shared" si="41"/>
        <v>0</v>
      </c>
      <c r="AA63" s="48"/>
      <c r="AB63" s="73">
        <f t="shared" si="42"/>
        <v>0</v>
      </c>
      <c r="AC63" s="48"/>
      <c r="AD63" s="73">
        <f t="shared" si="43"/>
        <v>0</v>
      </c>
      <c r="AE63" s="48"/>
      <c r="AF63" s="73">
        <f t="shared" si="44"/>
        <v>0</v>
      </c>
      <c r="AG63" s="2"/>
      <c r="AH63" s="48"/>
      <c r="AI63" s="73">
        <f t="shared" si="45"/>
        <v>0</v>
      </c>
      <c r="AJ63" s="48"/>
      <c r="AK63" s="73">
        <f t="shared" si="46"/>
        <v>0</v>
      </c>
      <c r="AL63" s="48"/>
      <c r="AM63" s="73">
        <f t="shared" si="47"/>
        <v>0</v>
      </c>
      <c r="AN63" s="48"/>
      <c r="AO63" s="73">
        <f t="shared" si="48"/>
        <v>0</v>
      </c>
      <c r="AP63" s="2"/>
      <c r="AQ63" s="48"/>
      <c r="AR63" s="73">
        <f t="shared" si="49"/>
        <v>0</v>
      </c>
      <c r="AS63" s="48"/>
      <c r="AT63" s="73">
        <f t="shared" si="50"/>
        <v>0</v>
      </c>
      <c r="AU63" s="48"/>
      <c r="AV63" s="73">
        <f t="shared" si="51"/>
        <v>0</v>
      </c>
      <c r="AW63" s="48"/>
      <c r="AX63" s="73">
        <f t="shared" si="52"/>
        <v>0</v>
      </c>
      <c r="AZ63" s="48"/>
      <c r="BA63" s="73">
        <f t="shared" si="24"/>
        <v>0</v>
      </c>
      <c r="BB63" s="48"/>
      <c r="BC63" s="73">
        <f t="shared" si="25"/>
        <v>0</v>
      </c>
      <c r="BD63" s="48"/>
      <c r="BE63" s="73">
        <f t="shared" si="26"/>
        <v>0</v>
      </c>
      <c r="BF63" s="48"/>
      <c r="BG63" s="73">
        <f t="shared" si="27"/>
        <v>0</v>
      </c>
      <c r="BI63" s="48"/>
      <c r="BJ63" s="73">
        <f t="shared" si="19"/>
        <v>0</v>
      </c>
      <c r="BK63" s="48"/>
      <c r="BL63" s="73">
        <f t="shared" si="28"/>
        <v>0</v>
      </c>
      <c r="BM63" s="48"/>
      <c r="BN63" s="73">
        <f t="shared" si="29"/>
        <v>0</v>
      </c>
      <c r="BO63" s="48"/>
      <c r="BP63" s="73">
        <f t="shared" si="30"/>
        <v>0</v>
      </c>
      <c r="BR63" s="48"/>
      <c r="BS63" s="73">
        <f t="shared" si="31"/>
        <v>0</v>
      </c>
      <c r="BT63" s="48"/>
      <c r="BU63" s="73">
        <f t="shared" si="32"/>
        <v>0</v>
      </c>
      <c r="BW63" s="48"/>
      <c r="BX63" s="73">
        <f t="shared" si="33"/>
        <v>0</v>
      </c>
      <c r="BZ63" s="48"/>
      <c r="CA63" s="73">
        <f t="shared" si="34"/>
        <v>0</v>
      </c>
    </row>
    <row r="64" spans="1:79" thickBot="1">
      <c r="A64" s="21">
        <v>58</v>
      </c>
      <c r="B64" s="39"/>
      <c r="C64" s="40"/>
      <c r="D64" s="56"/>
      <c r="E64" s="70">
        <f t="shared" si="20"/>
        <v>0</v>
      </c>
      <c r="F64" s="70">
        <f t="shared" si="21"/>
        <v>0</v>
      </c>
      <c r="G64" s="71">
        <f t="shared" si="22"/>
        <v>0</v>
      </c>
      <c r="H64" s="71">
        <f t="shared" si="23"/>
        <v>0</v>
      </c>
      <c r="I64" s="72">
        <f t="shared" si="0"/>
        <v>0</v>
      </c>
      <c r="J64" s="150"/>
      <c r="K64" s="48"/>
      <c r="L64" s="73">
        <f t="shared" si="35"/>
        <v>0</v>
      </c>
      <c r="M64" s="48"/>
      <c r="N64" s="73">
        <f t="shared" si="36"/>
        <v>0</v>
      </c>
      <c r="P64" s="48"/>
      <c r="Q64" s="73">
        <f t="shared" si="37"/>
        <v>0</v>
      </c>
      <c r="R64" s="48"/>
      <c r="S64" s="73">
        <f t="shared" si="38"/>
        <v>0</v>
      </c>
      <c r="T64" s="48"/>
      <c r="U64" s="73">
        <f t="shared" si="39"/>
        <v>0</v>
      </c>
      <c r="V64" s="48"/>
      <c r="W64" s="73">
        <f t="shared" si="40"/>
        <v>0</v>
      </c>
      <c r="Y64" s="48"/>
      <c r="Z64" s="73">
        <f t="shared" si="41"/>
        <v>0</v>
      </c>
      <c r="AA64" s="48"/>
      <c r="AB64" s="73">
        <f t="shared" si="42"/>
        <v>0</v>
      </c>
      <c r="AC64" s="48"/>
      <c r="AD64" s="73">
        <f t="shared" si="43"/>
        <v>0</v>
      </c>
      <c r="AE64" s="48"/>
      <c r="AF64" s="73">
        <f t="shared" si="44"/>
        <v>0</v>
      </c>
      <c r="AG64" s="2"/>
      <c r="AH64" s="48"/>
      <c r="AI64" s="73">
        <f t="shared" si="45"/>
        <v>0</v>
      </c>
      <c r="AJ64" s="48"/>
      <c r="AK64" s="73">
        <f t="shared" si="46"/>
        <v>0</v>
      </c>
      <c r="AL64" s="48"/>
      <c r="AM64" s="73">
        <f t="shared" si="47"/>
        <v>0</v>
      </c>
      <c r="AN64" s="48"/>
      <c r="AO64" s="73">
        <f t="shared" si="48"/>
        <v>0</v>
      </c>
      <c r="AP64" s="2"/>
      <c r="AQ64" s="48"/>
      <c r="AR64" s="73">
        <f t="shared" si="49"/>
        <v>0</v>
      </c>
      <c r="AS64" s="48"/>
      <c r="AT64" s="73">
        <f t="shared" si="50"/>
        <v>0</v>
      </c>
      <c r="AU64" s="48"/>
      <c r="AV64" s="73">
        <f t="shared" si="51"/>
        <v>0</v>
      </c>
      <c r="AW64" s="48"/>
      <c r="AX64" s="73">
        <f t="shared" si="52"/>
        <v>0</v>
      </c>
      <c r="AZ64" s="48"/>
      <c r="BA64" s="73">
        <f t="shared" si="24"/>
        <v>0</v>
      </c>
      <c r="BB64" s="48"/>
      <c r="BC64" s="73">
        <f t="shared" si="25"/>
        <v>0</v>
      </c>
      <c r="BD64" s="48"/>
      <c r="BE64" s="73">
        <f t="shared" si="26"/>
        <v>0</v>
      </c>
      <c r="BF64" s="48"/>
      <c r="BG64" s="73">
        <f t="shared" si="27"/>
        <v>0</v>
      </c>
      <c r="BI64" s="48"/>
      <c r="BJ64" s="73">
        <f t="shared" si="19"/>
        <v>0</v>
      </c>
      <c r="BK64" s="48"/>
      <c r="BL64" s="73">
        <f t="shared" si="28"/>
        <v>0</v>
      </c>
      <c r="BM64" s="48"/>
      <c r="BN64" s="73">
        <f t="shared" si="29"/>
        <v>0</v>
      </c>
      <c r="BO64" s="48"/>
      <c r="BP64" s="73">
        <f t="shared" si="30"/>
        <v>0</v>
      </c>
      <c r="BR64" s="48"/>
      <c r="BS64" s="73">
        <f t="shared" si="31"/>
        <v>0</v>
      </c>
      <c r="BT64" s="48"/>
      <c r="BU64" s="73">
        <f t="shared" si="32"/>
        <v>0</v>
      </c>
      <c r="BW64" s="48"/>
      <c r="BX64" s="73">
        <f t="shared" si="33"/>
        <v>0</v>
      </c>
      <c r="BZ64" s="48"/>
      <c r="CA64" s="73">
        <f t="shared" si="34"/>
        <v>0</v>
      </c>
    </row>
    <row r="65" spans="1:79" thickBot="1">
      <c r="A65" s="24">
        <v>59</v>
      </c>
      <c r="B65" s="39"/>
      <c r="C65" s="40"/>
      <c r="D65" s="56"/>
      <c r="E65" s="70">
        <f t="shared" si="20"/>
        <v>0</v>
      </c>
      <c r="F65" s="70">
        <f t="shared" si="21"/>
        <v>0</v>
      </c>
      <c r="G65" s="71">
        <f t="shared" si="22"/>
        <v>0</v>
      </c>
      <c r="H65" s="71">
        <f t="shared" si="23"/>
        <v>0</v>
      </c>
      <c r="I65" s="72">
        <f t="shared" si="0"/>
        <v>0</v>
      </c>
      <c r="J65" s="150"/>
      <c r="K65" s="48"/>
      <c r="L65" s="73">
        <f t="shared" si="35"/>
        <v>0</v>
      </c>
      <c r="M65" s="48"/>
      <c r="N65" s="73">
        <f t="shared" si="36"/>
        <v>0</v>
      </c>
      <c r="P65" s="48"/>
      <c r="Q65" s="73">
        <f t="shared" si="37"/>
        <v>0</v>
      </c>
      <c r="R65" s="48"/>
      <c r="S65" s="73">
        <f t="shared" si="38"/>
        <v>0</v>
      </c>
      <c r="T65" s="48"/>
      <c r="U65" s="73">
        <f t="shared" si="39"/>
        <v>0</v>
      </c>
      <c r="V65" s="48"/>
      <c r="W65" s="73">
        <f t="shared" si="40"/>
        <v>0</v>
      </c>
      <c r="Y65" s="48"/>
      <c r="Z65" s="73">
        <f t="shared" si="41"/>
        <v>0</v>
      </c>
      <c r="AA65" s="48"/>
      <c r="AB65" s="73">
        <f t="shared" si="42"/>
        <v>0</v>
      </c>
      <c r="AC65" s="48"/>
      <c r="AD65" s="73">
        <f t="shared" si="43"/>
        <v>0</v>
      </c>
      <c r="AE65" s="48"/>
      <c r="AF65" s="73">
        <f t="shared" si="44"/>
        <v>0</v>
      </c>
      <c r="AG65" s="2"/>
      <c r="AH65" s="48"/>
      <c r="AI65" s="73">
        <f t="shared" si="45"/>
        <v>0</v>
      </c>
      <c r="AJ65" s="48"/>
      <c r="AK65" s="73">
        <f t="shared" si="46"/>
        <v>0</v>
      </c>
      <c r="AL65" s="48"/>
      <c r="AM65" s="73">
        <f t="shared" si="47"/>
        <v>0</v>
      </c>
      <c r="AN65" s="48"/>
      <c r="AO65" s="73">
        <f t="shared" si="48"/>
        <v>0</v>
      </c>
      <c r="AP65" s="2"/>
      <c r="AQ65" s="48"/>
      <c r="AR65" s="73">
        <f t="shared" si="49"/>
        <v>0</v>
      </c>
      <c r="AS65" s="48"/>
      <c r="AT65" s="73">
        <f t="shared" si="50"/>
        <v>0</v>
      </c>
      <c r="AU65" s="48"/>
      <c r="AV65" s="73">
        <f t="shared" si="51"/>
        <v>0</v>
      </c>
      <c r="AW65" s="48"/>
      <c r="AX65" s="73">
        <f t="shared" si="52"/>
        <v>0</v>
      </c>
      <c r="AZ65" s="48"/>
      <c r="BA65" s="73">
        <f t="shared" si="24"/>
        <v>0</v>
      </c>
      <c r="BB65" s="48"/>
      <c r="BC65" s="73">
        <f t="shared" si="25"/>
        <v>0</v>
      </c>
      <c r="BD65" s="48"/>
      <c r="BE65" s="73">
        <f t="shared" si="26"/>
        <v>0</v>
      </c>
      <c r="BF65" s="48"/>
      <c r="BG65" s="73">
        <f t="shared" si="27"/>
        <v>0</v>
      </c>
      <c r="BI65" s="48"/>
      <c r="BJ65" s="73">
        <f t="shared" si="19"/>
        <v>0</v>
      </c>
      <c r="BK65" s="48"/>
      <c r="BL65" s="73">
        <f t="shared" si="28"/>
        <v>0</v>
      </c>
      <c r="BM65" s="48"/>
      <c r="BN65" s="73">
        <f t="shared" si="29"/>
        <v>0</v>
      </c>
      <c r="BO65" s="48"/>
      <c r="BP65" s="73">
        <f t="shared" si="30"/>
        <v>0</v>
      </c>
      <c r="BR65" s="48"/>
      <c r="BS65" s="73">
        <f t="shared" si="31"/>
        <v>0</v>
      </c>
      <c r="BT65" s="48"/>
      <c r="BU65" s="73">
        <f t="shared" si="32"/>
        <v>0</v>
      </c>
      <c r="BW65" s="48"/>
      <c r="BX65" s="73">
        <f t="shared" si="33"/>
        <v>0</v>
      </c>
      <c r="BZ65" s="48"/>
      <c r="CA65" s="73">
        <f t="shared" si="34"/>
        <v>0</v>
      </c>
    </row>
    <row r="66" spans="1:79" thickBot="1">
      <c r="A66" s="21">
        <v>60</v>
      </c>
      <c r="B66" s="39"/>
      <c r="C66" s="40"/>
      <c r="D66" s="56"/>
      <c r="E66" s="70">
        <f t="shared" si="20"/>
        <v>0</v>
      </c>
      <c r="F66" s="70">
        <f t="shared" si="21"/>
        <v>0</v>
      </c>
      <c r="G66" s="71">
        <f t="shared" si="22"/>
        <v>0</v>
      </c>
      <c r="H66" s="71">
        <f t="shared" si="23"/>
        <v>0</v>
      </c>
      <c r="I66" s="72">
        <f t="shared" si="0"/>
        <v>0</v>
      </c>
      <c r="J66" s="150"/>
      <c r="K66" s="48"/>
      <c r="L66" s="73">
        <f t="shared" si="35"/>
        <v>0</v>
      </c>
      <c r="M66" s="48"/>
      <c r="N66" s="73">
        <f t="shared" si="36"/>
        <v>0</v>
      </c>
      <c r="P66" s="48"/>
      <c r="Q66" s="73">
        <f t="shared" si="37"/>
        <v>0</v>
      </c>
      <c r="R66" s="48"/>
      <c r="S66" s="73">
        <f t="shared" si="38"/>
        <v>0</v>
      </c>
      <c r="T66" s="48"/>
      <c r="U66" s="73">
        <f t="shared" si="39"/>
        <v>0</v>
      </c>
      <c r="V66" s="48"/>
      <c r="W66" s="73">
        <f t="shared" si="40"/>
        <v>0</v>
      </c>
      <c r="Y66" s="48"/>
      <c r="Z66" s="73">
        <f t="shared" si="41"/>
        <v>0</v>
      </c>
      <c r="AA66" s="48"/>
      <c r="AB66" s="73">
        <f t="shared" si="42"/>
        <v>0</v>
      </c>
      <c r="AC66" s="48"/>
      <c r="AD66" s="73">
        <f t="shared" si="43"/>
        <v>0</v>
      </c>
      <c r="AE66" s="48"/>
      <c r="AF66" s="73">
        <f t="shared" si="44"/>
        <v>0</v>
      </c>
      <c r="AG66" s="2"/>
      <c r="AH66" s="48"/>
      <c r="AI66" s="73">
        <f t="shared" si="45"/>
        <v>0</v>
      </c>
      <c r="AJ66" s="48"/>
      <c r="AK66" s="73">
        <f t="shared" si="46"/>
        <v>0</v>
      </c>
      <c r="AL66" s="48"/>
      <c r="AM66" s="73">
        <f t="shared" si="47"/>
        <v>0</v>
      </c>
      <c r="AN66" s="48"/>
      <c r="AO66" s="73">
        <f t="shared" si="48"/>
        <v>0</v>
      </c>
      <c r="AP66" s="2"/>
      <c r="AQ66" s="48"/>
      <c r="AR66" s="73">
        <f t="shared" si="49"/>
        <v>0</v>
      </c>
      <c r="AS66" s="48"/>
      <c r="AT66" s="73">
        <f t="shared" si="50"/>
        <v>0</v>
      </c>
      <c r="AU66" s="48"/>
      <c r="AV66" s="73">
        <f t="shared" si="51"/>
        <v>0</v>
      </c>
      <c r="AW66" s="48"/>
      <c r="AX66" s="73">
        <f t="shared" si="52"/>
        <v>0</v>
      </c>
      <c r="AZ66" s="48"/>
      <c r="BA66" s="73">
        <f t="shared" si="24"/>
        <v>0</v>
      </c>
      <c r="BB66" s="48"/>
      <c r="BC66" s="73">
        <f t="shared" si="25"/>
        <v>0</v>
      </c>
      <c r="BD66" s="48"/>
      <c r="BE66" s="73">
        <f t="shared" si="26"/>
        <v>0</v>
      </c>
      <c r="BF66" s="48"/>
      <c r="BG66" s="73">
        <f t="shared" si="27"/>
        <v>0</v>
      </c>
      <c r="BI66" s="48"/>
      <c r="BJ66" s="73">
        <f t="shared" si="19"/>
        <v>0</v>
      </c>
      <c r="BK66" s="48"/>
      <c r="BL66" s="73">
        <f t="shared" si="28"/>
        <v>0</v>
      </c>
      <c r="BM66" s="48"/>
      <c r="BN66" s="73">
        <f t="shared" si="29"/>
        <v>0</v>
      </c>
      <c r="BO66" s="48"/>
      <c r="BP66" s="73">
        <f t="shared" si="30"/>
        <v>0</v>
      </c>
      <c r="BR66" s="48"/>
      <c r="BS66" s="73">
        <f t="shared" si="31"/>
        <v>0</v>
      </c>
      <c r="BT66" s="48"/>
      <c r="BU66" s="73">
        <f t="shared" si="32"/>
        <v>0</v>
      </c>
      <c r="BW66" s="48"/>
      <c r="BX66" s="73">
        <f t="shared" si="33"/>
        <v>0</v>
      </c>
      <c r="BZ66" s="48"/>
      <c r="CA66" s="73">
        <f t="shared" si="34"/>
        <v>0</v>
      </c>
    </row>
    <row r="67" spans="1:79" thickBot="1">
      <c r="A67" s="24">
        <v>61</v>
      </c>
      <c r="B67" s="39"/>
      <c r="C67" s="40"/>
      <c r="D67" s="56"/>
      <c r="E67" s="70">
        <f t="shared" si="20"/>
        <v>0</v>
      </c>
      <c r="F67" s="70">
        <f t="shared" si="21"/>
        <v>0</v>
      </c>
      <c r="G67" s="71">
        <f t="shared" si="22"/>
        <v>0</v>
      </c>
      <c r="H67" s="71">
        <f t="shared" si="23"/>
        <v>0</v>
      </c>
      <c r="I67" s="72">
        <f t="shared" si="0"/>
        <v>0</v>
      </c>
      <c r="J67" s="150"/>
      <c r="K67" s="48"/>
      <c r="L67" s="73">
        <f t="shared" si="35"/>
        <v>0</v>
      </c>
      <c r="M67" s="48"/>
      <c r="N67" s="73">
        <f t="shared" si="36"/>
        <v>0</v>
      </c>
      <c r="P67" s="48"/>
      <c r="Q67" s="73">
        <f t="shared" si="37"/>
        <v>0</v>
      </c>
      <c r="R67" s="48"/>
      <c r="S67" s="73">
        <f t="shared" si="38"/>
        <v>0</v>
      </c>
      <c r="T67" s="48"/>
      <c r="U67" s="73">
        <f t="shared" si="39"/>
        <v>0</v>
      </c>
      <c r="V67" s="48"/>
      <c r="W67" s="73">
        <f t="shared" si="40"/>
        <v>0</v>
      </c>
      <c r="Y67" s="48"/>
      <c r="Z67" s="73">
        <f t="shared" si="41"/>
        <v>0</v>
      </c>
      <c r="AA67" s="48"/>
      <c r="AB67" s="73">
        <f t="shared" si="42"/>
        <v>0</v>
      </c>
      <c r="AC67" s="48"/>
      <c r="AD67" s="73">
        <f t="shared" si="43"/>
        <v>0</v>
      </c>
      <c r="AE67" s="48"/>
      <c r="AF67" s="73">
        <f t="shared" si="44"/>
        <v>0</v>
      </c>
      <c r="AG67" s="2"/>
      <c r="AH67" s="48"/>
      <c r="AI67" s="73">
        <f t="shared" si="45"/>
        <v>0</v>
      </c>
      <c r="AJ67" s="48"/>
      <c r="AK67" s="73">
        <f t="shared" si="46"/>
        <v>0</v>
      </c>
      <c r="AL67" s="48"/>
      <c r="AM67" s="73">
        <f t="shared" si="47"/>
        <v>0</v>
      </c>
      <c r="AN67" s="48"/>
      <c r="AO67" s="73">
        <f t="shared" si="48"/>
        <v>0</v>
      </c>
      <c r="AP67" s="2"/>
      <c r="AQ67" s="48"/>
      <c r="AR67" s="73">
        <f t="shared" si="49"/>
        <v>0</v>
      </c>
      <c r="AS67" s="48"/>
      <c r="AT67" s="73">
        <f t="shared" si="50"/>
        <v>0</v>
      </c>
      <c r="AU67" s="48"/>
      <c r="AV67" s="73">
        <f t="shared" si="51"/>
        <v>0</v>
      </c>
      <c r="AW67" s="48"/>
      <c r="AX67" s="73">
        <f t="shared" si="52"/>
        <v>0</v>
      </c>
      <c r="AZ67" s="48"/>
      <c r="BA67" s="73">
        <f t="shared" si="24"/>
        <v>0</v>
      </c>
      <c r="BB67" s="48"/>
      <c r="BC67" s="73">
        <f t="shared" si="25"/>
        <v>0</v>
      </c>
      <c r="BD67" s="48"/>
      <c r="BE67" s="73">
        <f t="shared" si="26"/>
        <v>0</v>
      </c>
      <c r="BF67" s="48"/>
      <c r="BG67" s="73">
        <f t="shared" si="27"/>
        <v>0</v>
      </c>
      <c r="BI67" s="48"/>
      <c r="BJ67" s="73">
        <f t="shared" si="19"/>
        <v>0</v>
      </c>
      <c r="BK67" s="48"/>
      <c r="BL67" s="73">
        <f t="shared" si="28"/>
        <v>0</v>
      </c>
      <c r="BM67" s="48"/>
      <c r="BN67" s="73">
        <f t="shared" si="29"/>
        <v>0</v>
      </c>
      <c r="BO67" s="48"/>
      <c r="BP67" s="73">
        <f t="shared" si="30"/>
        <v>0</v>
      </c>
      <c r="BR67" s="48"/>
      <c r="BS67" s="73">
        <f t="shared" si="31"/>
        <v>0</v>
      </c>
      <c r="BT67" s="48"/>
      <c r="BU67" s="73">
        <f t="shared" si="32"/>
        <v>0</v>
      </c>
      <c r="BW67" s="48"/>
      <c r="BX67" s="73">
        <f t="shared" si="33"/>
        <v>0</v>
      </c>
      <c r="BZ67" s="48"/>
      <c r="CA67" s="73">
        <f t="shared" si="34"/>
        <v>0</v>
      </c>
    </row>
    <row r="68" spans="1:79" thickBot="1">
      <c r="A68" s="21">
        <v>62</v>
      </c>
      <c r="B68" s="39"/>
      <c r="C68" s="40"/>
      <c r="D68" s="56"/>
      <c r="E68" s="70">
        <f t="shared" si="20"/>
        <v>0</v>
      </c>
      <c r="F68" s="70">
        <f t="shared" si="21"/>
        <v>0</v>
      </c>
      <c r="G68" s="71">
        <f t="shared" si="22"/>
        <v>0</v>
      </c>
      <c r="H68" s="71">
        <f t="shared" si="23"/>
        <v>0</v>
      </c>
      <c r="I68" s="72">
        <f t="shared" si="0"/>
        <v>0</v>
      </c>
      <c r="J68" s="150"/>
      <c r="K68" s="48"/>
      <c r="L68" s="73">
        <f t="shared" si="35"/>
        <v>0</v>
      </c>
      <c r="M68" s="48"/>
      <c r="N68" s="73">
        <f t="shared" si="36"/>
        <v>0</v>
      </c>
      <c r="P68" s="48"/>
      <c r="Q68" s="73">
        <f t="shared" si="37"/>
        <v>0</v>
      </c>
      <c r="R68" s="48"/>
      <c r="S68" s="73">
        <f t="shared" si="38"/>
        <v>0</v>
      </c>
      <c r="T68" s="48"/>
      <c r="U68" s="73">
        <f t="shared" si="39"/>
        <v>0</v>
      </c>
      <c r="V68" s="48"/>
      <c r="W68" s="73">
        <f t="shared" si="40"/>
        <v>0</v>
      </c>
      <c r="Y68" s="48"/>
      <c r="Z68" s="73">
        <f t="shared" si="41"/>
        <v>0</v>
      </c>
      <c r="AA68" s="48"/>
      <c r="AB68" s="73">
        <f t="shared" si="42"/>
        <v>0</v>
      </c>
      <c r="AC68" s="48"/>
      <c r="AD68" s="73">
        <f t="shared" si="43"/>
        <v>0</v>
      </c>
      <c r="AE68" s="48"/>
      <c r="AF68" s="73">
        <f t="shared" si="44"/>
        <v>0</v>
      </c>
      <c r="AG68" s="2"/>
      <c r="AH68" s="48"/>
      <c r="AI68" s="73">
        <f t="shared" si="45"/>
        <v>0</v>
      </c>
      <c r="AJ68" s="48"/>
      <c r="AK68" s="73">
        <f t="shared" si="46"/>
        <v>0</v>
      </c>
      <c r="AL68" s="48"/>
      <c r="AM68" s="73">
        <f t="shared" si="47"/>
        <v>0</v>
      </c>
      <c r="AN68" s="48"/>
      <c r="AO68" s="73">
        <f t="shared" si="48"/>
        <v>0</v>
      </c>
      <c r="AP68" s="2"/>
      <c r="AQ68" s="48"/>
      <c r="AR68" s="73">
        <f t="shared" si="49"/>
        <v>0</v>
      </c>
      <c r="AS68" s="48"/>
      <c r="AT68" s="73">
        <f t="shared" si="50"/>
        <v>0</v>
      </c>
      <c r="AU68" s="48"/>
      <c r="AV68" s="73">
        <f t="shared" si="51"/>
        <v>0</v>
      </c>
      <c r="AW68" s="48"/>
      <c r="AX68" s="73">
        <f t="shared" si="52"/>
        <v>0</v>
      </c>
      <c r="AZ68" s="48"/>
      <c r="BA68" s="73">
        <f t="shared" si="24"/>
        <v>0</v>
      </c>
      <c r="BB68" s="48"/>
      <c r="BC68" s="73">
        <f t="shared" si="25"/>
        <v>0</v>
      </c>
      <c r="BD68" s="48"/>
      <c r="BE68" s="73">
        <f t="shared" si="26"/>
        <v>0</v>
      </c>
      <c r="BF68" s="48"/>
      <c r="BG68" s="73">
        <f t="shared" si="27"/>
        <v>0</v>
      </c>
      <c r="BI68" s="48"/>
      <c r="BJ68" s="73">
        <f t="shared" si="19"/>
        <v>0</v>
      </c>
      <c r="BK68" s="48"/>
      <c r="BL68" s="73">
        <f t="shared" si="28"/>
        <v>0</v>
      </c>
      <c r="BM68" s="48"/>
      <c r="BN68" s="73">
        <f t="shared" si="29"/>
        <v>0</v>
      </c>
      <c r="BO68" s="48"/>
      <c r="BP68" s="73">
        <f t="shared" si="30"/>
        <v>0</v>
      </c>
      <c r="BR68" s="48"/>
      <c r="BS68" s="73">
        <f t="shared" si="31"/>
        <v>0</v>
      </c>
      <c r="BT68" s="48"/>
      <c r="BU68" s="73">
        <f t="shared" si="32"/>
        <v>0</v>
      </c>
      <c r="BW68" s="48"/>
      <c r="BX68" s="73">
        <f t="shared" si="33"/>
        <v>0</v>
      </c>
      <c r="BZ68" s="48"/>
      <c r="CA68" s="73">
        <f t="shared" si="34"/>
        <v>0</v>
      </c>
    </row>
    <row r="69" spans="1:79" thickBot="1">
      <c r="A69" s="24">
        <v>63</v>
      </c>
      <c r="B69" s="39"/>
      <c r="C69" s="40"/>
      <c r="D69" s="56"/>
      <c r="E69" s="70">
        <f t="shared" si="20"/>
        <v>0</v>
      </c>
      <c r="F69" s="70">
        <f t="shared" si="21"/>
        <v>0</v>
      </c>
      <c r="G69" s="71">
        <f t="shared" si="22"/>
        <v>0</v>
      </c>
      <c r="H69" s="71">
        <f t="shared" si="23"/>
        <v>0</v>
      </c>
      <c r="I69" s="72">
        <f t="shared" si="0"/>
        <v>0</v>
      </c>
      <c r="J69" s="150"/>
      <c r="K69" s="48"/>
      <c r="L69" s="73">
        <f t="shared" si="35"/>
        <v>0</v>
      </c>
      <c r="M69" s="48"/>
      <c r="N69" s="73">
        <f t="shared" si="36"/>
        <v>0</v>
      </c>
      <c r="P69" s="48"/>
      <c r="Q69" s="73">
        <f t="shared" si="37"/>
        <v>0</v>
      </c>
      <c r="R69" s="48"/>
      <c r="S69" s="73">
        <f t="shared" si="38"/>
        <v>0</v>
      </c>
      <c r="T69" s="48"/>
      <c r="U69" s="73">
        <f t="shared" si="39"/>
        <v>0</v>
      </c>
      <c r="V69" s="48"/>
      <c r="W69" s="73">
        <f t="shared" si="40"/>
        <v>0</v>
      </c>
      <c r="Y69" s="48"/>
      <c r="Z69" s="73">
        <f t="shared" si="41"/>
        <v>0</v>
      </c>
      <c r="AA69" s="48"/>
      <c r="AB69" s="73">
        <f t="shared" si="42"/>
        <v>0</v>
      </c>
      <c r="AC69" s="48"/>
      <c r="AD69" s="73">
        <f t="shared" si="43"/>
        <v>0</v>
      </c>
      <c r="AE69" s="48"/>
      <c r="AF69" s="73">
        <f t="shared" si="44"/>
        <v>0</v>
      </c>
      <c r="AG69" s="2"/>
      <c r="AH69" s="48"/>
      <c r="AI69" s="73">
        <f t="shared" si="45"/>
        <v>0</v>
      </c>
      <c r="AJ69" s="48"/>
      <c r="AK69" s="73">
        <f t="shared" si="46"/>
        <v>0</v>
      </c>
      <c r="AL69" s="48"/>
      <c r="AM69" s="73">
        <f t="shared" si="47"/>
        <v>0</v>
      </c>
      <c r="AN69" s="48"/>
      <c r="AO69" s="73">
        <f t="shared" si="48"/>
        <v>0</v>
      </c>
      <c r="AP69" s="2"/>
      <c r="AQ69" s="48"/>
      <c r="AR69" s="73">
        <f t="shared" si="49"/>
        <v>0</v>
      </c>
      <c r="AS69" s="48"/>
      <c r="AT69" s="73">
        <f t="shared" si="50"/>
        <v>0</v>
      </c>
      <c r="AU69" s="48"/>
      <c r="AV69" s="73">
        <f t="shared" si="51"/>
        <v>0</v>
      </c>
      <c r="AW69" s="48"/>
      <c r="AX69" s="73">
        <f t="shared" si="52"/>
        <v>0</v>
      </c>
      <c r="AZ69" s="48"/>
      <c r="BA69" s="73">
        <f t="shared" si="24"/>
        <v>0</v>
      </c>
      <c r="BB69" s="48"/>
      <c r="BC69" s="73">
        <f t="shared" si="25"/>
        <v>0</v>
      </c>
      <c r="BD69" s="48"/>
      <c r="BE69" s="73">
        <f t="shared" si="26"/>
        <v>0</v>
      </c>
      <c r="BF69" s="48"/>
      <c r="BG69" s="73">
        <f t="shared" si="27"/>
        <v>0</v>
      </c>
      <c r="BI69" s="48"/>
      <c r="BJ69" s="73">
        <f t="shared" si="19"/>
        <v>0</v>
      </c>
      <c r="BK69" s="48"/>
      <c r="BL69" s="73">
        <f t="shared" si="28"/>
        <v>0</v>
      </c>
      <c r="BM69" s="48"/>
      <c r="BN69" s="73">
        <f t="shared" si="29"/>
        <v>0</v>
      </c>
      <c r="BO69" s="48"/>
      <c r="BP69" s="73">
        <f t="shared" si="30"/>
        <v>0</v>
      </c>
      <c r="BR69" s="48"/>
      <c r="BS69" s="73">
        <f t="shared" si="31"/>
        <v>0</v>
      </c>
      <c r="BT69" s="48"/>
      <c r="BU69" s="73">
        <f t="shared" si="32"/>
        <v>0</v>
      </c>
      <c r="BW69" s="48"/>
      <c r="BX69" s="73">
        <f t="shared" si="33"/>
        <v>0</v>
      </c>
      <c r="BZ69" s="48"/>
      <c r="CA69" s="73">
        <f t="shared" si="34"/>
        <v>0</v>
      </c>
    </row>
    <row r="70" spans="1:79" thickBot="1">
      <c r="A70" s="21">
        <v>64</v>
      </c>
      <c r="B70" s="39"/>
      <c r="C70" s="40"/>
      <c r="D70" s="56"/>
      <c r="E70" s="70">
        <f t="shared" si="20"/>
        <v>0</v>
      </c>
      <c r="F70" s="70">
        <f t="shared" si="21"/>
        <v>0</v>
      </c>
      <c r="G70" s="71">
        <f t="shared" si="22"/>
        <v>0</v>
      </c>
      <c r="H70" s="71">
        <f t="shared" si="23"/>
        <v>0</v>
      </c>
      <c r="I70" s="72">
        <f t="shared" si="0"/>
        <v>0</v>
      </c>
      <c r="J70" s="150"/>
      <c r="K70" s="48"/>
      <c r="L70" s="73">
        <f t="shared" si="35"/>
        <v>0</v>
      </c>
      <c r="M70" s="48"/>
      <c r="N70" s="73">
        <f t="shared" si="36"/>
        <v>0</v>
      </c>
      <c r="P70" s="48"/>
      <c r="Q70" s="73">
        <f t="shared" si="37"/>
        <v>0</v>
      </c>
      <c r="R70" s="48"/>
      <c r="S70" s="73">
        <f t="shared" si="38"/>
        <v>0</v>
      </c>
      <c r="T70" s="48"/>
      <c r="U70" s="73">
        <f t="shared" si="39"/>
        <v>0</v>
      </c>
      <c r="V70" s="48"/>
      <c r="W70" s="73">
        <f t="shared" si="40"/>
        <v>0</v>
      </c>
      <c r="Y70" s="48"/>
      <c r="Z70" s="73">
        <f t="shared" si="41"/>
        <v>0</v>
      </c>
      <c r="AA70" s="48"/>
      <c r="AB70" s="73">
        <f t="shared" si="42"/>
        <v>0</v>
      </c>
      <c r="AC70" s="48"/>
      <c r="AD70" s="73">
        <f t="shared" si="43"/>
        <v>0</v>
      </c>
      <c r="AE70" s="48"/>
      <c r="AF70" s="73">
        <f t="shared" si="44"/>
        <v>0</v>
      </c>
      <c r="AG70" s="2"/>
      <c r="AH70" s="48"/>
      <c r="AI70" s="73">
        <f t="shared" si="45"/>
        <v>0</v>
      </c>
      <c r="AJ70" s="48"/>
      <c r="AK70" s="73">
        <f t="shared" si="46"/>
        <v>0</v>
      </c>
      <c r="AL70" s="48"/>
      <c r="AM70" s="73">
        <f t="shared" si="47"/>
        <v>0</v>
      </c>
      <c r="AN70" s="48"/>
      <c r="AO70" s="73">
        <f t="shared" si="48"/>
        <v>0</v>
      </c>
      <c r="AP70" s="2"/>
      <c r="AQ70" s="48"/>
      <c r="AR70" s="73">
        <f t="shared" si="49"/>
        <v>0</v>
      </c>
      <c r="AS70" s="48"/>
      <c r="AT70" s="73">
        <f t="shared" si="50"/>
        <v>0</v>
      </c>
      <c r="AU70" s="48"/>
      <c r="AV70" s="73">
        <f t="shared" si="51"/>
        <v>0</v>
      </c>
      <c r="AW70" s="48"/>
      <c r="AX70" s="73">
        <f t="shared" si="52"/>
        <v>0</v>
      </c>
      <c r="AZ70" s="48"/>
      <c r="BA70" s="73">
        <f t="shared" si="24"/>
        <v>0</v>
      </c>
      <c r="BB70" s="48"/>
      <c r="BC70" s="73">
        <f t="shared" si="25"/>
        <v>0</v>
      </c>
      <c r="BD70" s="48"/>
      <c r="BE70" s="73">
        <f t="shared" si="26"/>
        <v>0</v>
      </c>
      <c r="BF70" s="48"/>
      <c r="BG70" s="73">
        <f t="shared" si="27"/>
        <v>0</v>
      </c>
      <c r="BI70" s="48"/>
      <c r="BJ70" s="73">
        <f t="shared" si="19"/>
        <v>0</v>
      </c>
      <c r="BK70" s="48"/>
      <c r="BL70" s="73">
        <f t="shared" si="28"/>
        <v>0</v>
      </c>
      <c r="BM70" s="48"/>
      <c r="BN70" s="73">
        <f t="shared" si="29"/>
        <v>0</v>
      </c>
      <c r="BO70" s="48"/>
      <c r="BP70" s="73">
        <f t="shared" si="30"/>
        <v>0</v>
      </c>
      <c r="BR70" s="48"/>
      <c r="BS70" s="73">
        <f t="shared" si="31"/>
        <v>0</v>
      </c>
      <c r="BT70" s="48"/>
      <c r="BU70" s="73">
        <f t="shared" si="32"/>
        <v>0</v>
      </c>
      <c r="BW70" s="48"/>
      <c r="BX70" s="73">
        <f t="shared" si="33"/>
        <v>0</v>
      </c>
      <c r="BZ70" s="48"/>
      <c r="CA70" s="73">
        <f t="shared" si="34"/>
        <v>0</v>
      </c>
    </row>
    <row r="71" spans="1:79" thickBot="1">
      <c r="A71" s="24">
        <v>65</v>
      </c>
      <c r="B71" s="39"/>
      <c r="C71" s="40"/>
      <c r="D71" s="56"/>
      <c r="E71" s="70">
        <f t="shared" si="20"/>
        <v>0</v>
      </c>
      <c r="F71" s="70">
        <f t="shared" si="21"/>
        <v>0</v>
      </c>
      <c r="G71" s="71">
        <f t="shared" si="22"/>
        <v>0</v>
      </c>
      <c r="H71" s="71">
        <f t="shared" si="23"/>
        <v>0</v>
      </c>
      <c r="I71" s="72">
        <f t="shared" ref="I71:I107" si="53">G71+H71</f>
        <v>0</v>
      </c>
      <c r="J71" s="150"/>
      <c r="K71" s="48"/>
      <c r="L71" s="73">
        <f t="shared" si="35"/>
        <v>0</v>
      </c>
      <c r="M71" s="48"/>
      <c r="N71" s="73">
        <f t="shared" si="36"/>
        <v>0</v>
      </c>
      <c r="P71" s="48"/>
      <c r="Q71" s="73">
        <f t="shared" si="37"/>
        <v>0</v>
      </c>
      <c r="R71" s="48"/>
      <c r="S71" s="73">
        <f t="shared" si="38"/>
        <v>0</v>
      </c>
      <c r="T71" s="48"/>
      <c r="U71" s="73">
        <f t="shared" si="39"/>
        <v>0</v>
      </c>
      <c r="V71" s="48"/>
      <c r="W71" s="73">
        <f t="shared" si="40"/>
        <v>0</v>
      </c>
      <c r="Y71" s="48"/>
      <c r="Z71" s="73">
        <f t="shared" si="41"/>
        <v>0</v>
      </c>
      <c r="AA71" s="48"/>
      <c r="AB71" s="73">
        <f t="shared" si="42"/>
        <v>0</v>
      </c>
      <c r="AC71" s="48"/>
      <c r="AD71" s="73">
        <f t="shared" si="43"/>
        <v>0</v>
      </c>
      <c r="AE71" s="48"/>
      <c r="AF71" s="73">
        <f t="shared" si="44"/>
        <v>0</v>
      </c>
      <c r="AG71" s="2"/>
      <c r="AH71" s="48"/>
      <c r="AI71" s="73">
        <f t="shared" si="45"/>
        <v>0</v>
      </c>
      <c r="AJ71" s="48"/>
      <c r="AK71" s="73">
        <f t="shared" si="46"/>
        <v>0</v>
      </c>
      <c r="AL71" s="48"/>
      <c r="AM71" s="73">
        <f t="shared" si="47"/>
        <v>0</v>
      </c>
      <c r="AN71" s="48"/>
      <c r="AO71" s="73">
        <f t="shared" si="48"/>
        <v>0</v>
      </c>
      <c r="AP71" s="2"/>
      <c r="AQ71" s="48"/>
      <c r="AR71" s="73">
        <f t="shared" si="49"/>
        <v>0</v>
      </c>
      <c r="AS71" s="48"/>
      <c r="AT71" s="73">
        <f t="shared" si="50"/>
        <v>0</v>
      </c>
      <c r="AU71" s="48"/>
      <c r="AV71" s="73">
        <f t="shared" si="51"/>
        <v>0</v>
      </c>
      <c r="AW71" s="48"/>
      <c r="AX71" s="73">
        <f t="shared" si="52"/>
        <v>0</v>
      </c>
      <c r="AZ71" s="48"/>
      <c r="BA71" s="73">
        <f t="shared" si="24"/>
        <v>0</v>
      </c>
      <c r="BB71" s="48"/>
      <c r="BC71" s="73">
        <f t="shared" si="25"/>
        <v>0</v>
      </c>
      <c r="BD71" s="48"/>
      <c r="BE71" s="73">
        <f t="shared" si="26"/>
        <v>0</v>
      </c>
      <c r="BF71" s="48"/>
      <c r="BG71" s="73">
        <f t="shared" si="27"/>
        <v>0</v>
      </c>
      <c r="BI71" s="48"/>
      <c r="BJ71" s="73">
        <f t="shared" ref="BJ71:BJ107" si="54">_xlfn.LET(
    _xlpm.FinalScore, TRIM(SUBSTITUTE($AW$6," ","")),
    _xlpm.UserGuess, TRIM(SUBSTITUTE(BI71,"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BI71=""),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K71" s="48"/>
      <c r="BL71" s="73">
        <f t="shared" si="28"/>
        <v>0</v>
      </c>
      <c r="BM71" s="48"/>
      <c r="BN71" s="73">
        <f t="shared" si="29"/>
        <v>0</v>
      </c>
      <c r="BO71" s="48"/>
      <c r="BP71" s="73">
        <f t="shared" si="30"/>
        <v>0</v>
      </c>
      <c r="BR71" s="48"/>
      <c r="BS71" s="73">
        <f t="shared" si="31"/>
        <v>0</v>
      </c>
      <c r="BT71" s="48"/>
      <c r="BU71" s="73">
        <f t="shared" si="32"/>
        <v>0</v>
      </c>
      <c r="BW71" s="48"/>
      <c r="BX71" s="73">
        <f t="shared" si="33"/>
        <v>0</v>
      </c>
      <c r="BZ71" s="48"/>
      <c r="CA71" s="73">
        <f t="shared" si="34"/>
        <v>0</v>
      </c>
    </row>
    <row r="72" spans="1:79" thickBot="1">
      <c r="A72" s="21">
        <v>66</v>
      </c>
      <c r="B72" s="39"/>
      <c r="C72" s="40"/>
      <c r="D72" s="56"/>
      <c r="E72" s="70">
        <f t="shared" ref="E72:E107" si="55">IF(K72&lt;&gt;"",1,0)+IF(M72&lt;&gt;"",1,0)+IF(P72&lt;&gt;"",1,0)+IF(R72&lt;&gt;"",1,0)+IF(T72&lt;&gt;"",1,0)+IF(V72&lt;&gt;"",1,0)+IF(Y72&lt;&gt;"",1,0)+IF(AA72&lt;&gt;"",1,0)+IF(AC72&lt;&gt;"",1,0)+IF(AE72&lt;&gt;"",1,0)+IF(AH72&lt;&gt;"",1,0)+IF(AJ72&lt;&gt;"",1,0)+IF(AL72&lt;&gt;"",1,0)+IF(AN72&lt;&gt;"",1,0)+IF(AQ72&lt;&gt;"",1,0)+IF(AS72&lt;&gt;"",1,0)+IF(AU72&lt;&gt;"",1,0)+IF(AW72&lt;&gt;"",1,0)+IF(AZ72&lt;&gt;"",1,0)+IF(BB72&lt;&gt;"",1,0)+IF(BD72&lt;&gt;"",1,0)+IF(BF72&lt;&gt;"",1,0)+IF(BI72&lt;&gt;"",1,0)+IF(BK72&lt;&gt;"",1,0)+IF(BM72&lt;&gt;"",1,0)+IF(BO72&lt;&gt;"",1,0)
+IF(BR72&lt;&gt;"",1,0)
+IF(BT72&lt;&gt;"",1,0)
+IF(BW72&lt;&gt;"",1,0)
+IF(BZ72&lt;&gt;"",1,0)</f>
        <v>0</v>
      </c>
      <c r="F72" s="70">
        <f t="shared" ref="F72:F107" si="56">IF(L72=4,1,0)+IF(N72=4,1,0)+IF(Q72=4,1,0)+IF(S72=4,1,0)+IF(U72=4,1,0)+IF(W72=4,1,0)+IF(Z72=4,1,0)+IF(AB72=4,1,0)+IF(AD72=4,1,0)+IF(AF72=4,1,0)+IF(AI72=4,1,0)+IF(AK72=4,1,0)+IF(AM72=4,1,0)+IF(AO72=4,1,0)+IF(AR72=4,1,0)+IF(AT72=4,1,0)+IF(AV72=4,1,0)+IF(AX72=4,1,0)+IF(BA72=5,1,0)+IF(BC72=5,1,0)+IF(BE72=5,1,0)+IF(BG72=5,1,0)+IF(BJ72=5,1,0)+IF(BL72=5,1,0)+IF(BN72=5,1,0)+IF(BP72=5,1,0)
+IF(BS72=5,1,0)
+IF(BU72=5,1,0)
+IF(BX72=5,1,0)
+IF(CA72=5,1,0)</f>
        <v>0</v>
      </c>
      <c r="G72" s="71">
        <f t="shared" ref="G72:G107" si="57">L72+N72+Q72+S72+U72+W72+Z72+AB72+AD72+AF72+AI72+AK72+AM72+AO72+AR72+AT72+AV72+AX72</f>
        <v>0</v>
      </c>
      <c r="H72" s="71">
        <f t="shared" ref="H72:H107" si="58">BA72+BC72+BE72+BG72+BJ72+BL72+BN72+BP72
+BS72
+BU72
+BX72
+CA72</f>
        <v>0</v>
      </c>
      <c r="I72" s="72">
        <f t="shared" si="53"/>
        <v>0</v>
      </c>
      <c r="J72" s="150"/>
      <c r="K72" s="48"/>
      <c r="L72" s="73">
        <f t="shared" si="35"/>
        <v>0</v>
      </c>
      <c r="M72" s="48"/>
      <c r="N72" s="73">
        <f t="shared" si="36"/>
        <v>0</v>
      </c>
      <c r="P72" s="48"/>
      <c r="Q72" s="73">
        <f t="shared" si="37"/>
        <v>0</v>
      </c>
      <c r="R72" s="48"/>
      <c r="S72" s="73">
        <f t="shared" si="38"/>
        <v>0</v>
      </c>
      <c r="T72" s="48"/>
      <c r="U72" s="73">
        <f t="shared" si="39"/>
        <v>0</v>
      </c>
      <c r="V72" s="48"/>
      <c r="W72" s="73">
        <f t="shared" si="40"/>
        <v>0</v>
      </c>
      <c r="Y72" s="48"/>
      <c r="Z72" s="73">
        <f t="shared" si="41"/>
        <v>0</v>
      </c>
      <c r="AA72" s="48"/>
      <c r="AB72" s="73">
        <f t="shared" si="42"/>
        <v>0</v>
      </c>
      <c r="AC72" s="48"/>
      <c r="AD72" s="73">
        <f t="shared" si="43"/>
        <v>0</v>
      </c>
      <c r="AE72" s="48"/>
      <c r="AF72" s="73">
        <f t="shared" si="44"/>
        <v>0</v>
      </c>
      <c r="AG72" s="2"/>
      <c r="AH72" s="48"/>
      <c r="AI72" s="73">
        <f t="shared" si="45"/>
        <v>0</v>
      </c>
      <c r="AJ72" s="48"/>
      <c r="AK72" s="73">
        <f t="shared" si="46"/>
        <v>0</v>
      </c>
      <c r="AL72" s="48"/>
      <c r="AM72" s="73">
        <f t="shared" si="47"/>
        <v>0</v>
      </c>
      <c r="AN72" s="48"/>
      <c r="AO72" s="73">
        <f t="shared" si="48"/>
        <v>0</v>
      </c>
      <c r="AP72" s="2"/>
      <c r="AQ72" s="48"/>
      <c r="AR72" s="73">
        <f t="shared" si="49"/>
        <v>0</v>
      </c>
      <c r="AS72" s="48"/>
      <c r="AT72" s="73">
        <f t="shared" si="50"/>
        <v>0</v>
      </c>
      <c r="AU72" s="48"/>
      <c r="AV72" s="73">
        <f t="shared" si="51"/>
        <v>0</v>
      </c>
      <c r="AW72" s="48"/>
      <c r="AX72" s="73">
        <f t="shared" si="52"/>
        <v>0</v>
      </c>
      <c r="AZ72" s="48"/>
      <c r="BA72" s="73">
        <f t="shared" ref="BA72:BA107" si="59">_xlfn.LET(
    _xlpm.FinalScore, TRIM(SUBSTITUTE($AW$6," ","")),
    _xlpm.UserGuess, TRIM(SUBSTITUTE(AZ72,"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AZ72=""),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B72" s="48"/>
      <c r="BC72" s="73">
        <f t="shared" ref="BC72:BC107" si="60">_xlfn.LET(
    _xlpm.FinalScore, TRIM(SUBSTITUTE($AW$6," ","")),
    _xlpm.UserGuess, TRIM(SUBSTITUTE(BB72,"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BB72=""),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D72" s="48"/>
      <c r="BE72" s="73">
        <f t="shared" ref="BE72:BE107" si="61">_xlfn.LET(
    _xlpm.FinalScore, TRIM(SUBSTITUTE($AW$6," ","")),
    _xlpm.UserGuess, TRIM(SUBSTITUTE(BD72,"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BD72=""),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F72" s="48"/>
      <c r="BG72" s="73">
        <f t="shared" ref="BG72:BG107" si="62">_xlfn.LET(
    _xlpm.FinalScore, TRIM(SUBSTITUTE($AW$6," ","")),
    _xlpm.UserGuess, TRIM(SUBSTITUTE(BF72,"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BF72=""),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I72" s="48"/>
      <c r="BJ72" s="73">
        <f t="shared" si="54"/>
        <v>0</v>
      </c>
      <c r="BK72" s="48"/>
      <c r="BL72" s="73">
        <f t="shared" ref="BL72:BL79" si="63">_xlfn.LET(
    _xlpm.FinalScore, TRIM(SUBSTITUTE($AW$6," ","")),
    _xlpm.UserGuess, TRIM(SUBSTITUTE(BK72,"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BK72=""),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M72" s="48"/>
      <c r="BN72" s="73">
        <f t="shared" ref="BN72:BN107" si="64">_xlfn.LET(
    _xlpm.FinalScore, TRIM(SUBSTITUTE($AW$6," ","")),
    _xlpm.UserGuess, TRIM(SUBSTITUTE(BM72,"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BM72=""),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O72" s="48"/>
      <c r="BP72" s="73">
        <f t="shared" ref="BP72:BP107" si="65">_xlfn.LET(
    _xlpm.FinalScore, TRIM(SUBSTITUTE($AW$6," ","")),
    _xlpm.UserGuess, TRIM(SUBSTITUTE(BO72,"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BO72=""),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R72" s="48"/>
      <c r="BS72" s="73">
        <f t="shared" ref="BS72:BS107" si="66">_xlfn.LET(
    _xlpm.FinalScore, TRIM(SUBSTITUTE($AW$6," ","")),
    _xlpm.UserGuess, TRIM(SUBSTITUTE(BR72,"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BR72=""),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T72" s="48"/>
      <c r="BU72" s="73">
        <f t="shared" ref="BU72:BU107" si="67">_xlfn.LET(
    _xlpm.FinalScore, TRIM(SUBSTITUTE($AW$6," ","")),
    _xlpm.UserGuess, TRIM(SUBSTITUTE(BT72,"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BT72=""),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W72" s="48"/>
      <c r="BX72" s="73">
        <f t="shared" ref="BX72:BX107" si="68">_xlfn.LET(
    _xlpm.FinalScore, TRIM(SUBSTITUTE($AW$6," ","")),
    _xlpm.UserGuess, TRIM(SUBSTITUTE(BW72,"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BW72=""),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Z72" s="48"/>
      <c r="CA72" s="73">
        <f t="shared" ref="CA72:CA85" si="69">_xlfn.LET(
    _xlpm.FinalScore, TRIM(SUBSTITUTE($AW$6," ","")),
    _xlpm.UserGuess, TRIM(SUBSTITUTE(BZ72,"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BZ72=""),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</row>
    <row r="73" spans="1:79" thickBot="1">
      <c r="A73" s="24">
        <v>67</v>
      </c>
      <c r="B73" s="39"/>
      <c r="C73" s="40"/>
      <c r="D73" s="56"/>
      <c r="E73" s="70">
        <f t="shared" si="55"/>
        <v>0</v>
      </c>
      <c r="F73" s="70">
        <f t="shared" si="56"/>
        <v>0</v>
      </c>
      <c r="G73" s="71">
        <f t="shared" si="57"/>
        <v>0</v>
      </c>
      <c r="H73" s="71">
        <f t="shared" si="58"/>
        <v>0</v>
      </c>
      <c r="I73" s="72">
        <f t="shared" si="53"/>
        <v>0</v>
      </c>
      <c r="J73" s="150"/>
      <c r="K73" s="48"/>
      <c r="L73" s="73">
        <f t="shared" si="35"/>
        <v>0</v>
      </c>
      <c r="M73" s="48"/>
      <c r="N73" s="73">
        <f t="shared" si="36"/>
        <v>0</v>
      </c>
      <c r="P73" s="48"/>
      <c r="Q73" s="73">
        <f t="shared" si="37"/>
        <v>0</v>
      </c>
      <c r="R73" s="48"/>
      <c r="S73" s="73">
        <f t="shared" si="38"/>
        <v>0</v>
      </c>
      <c r="T73" s="48"/>
      <c r="U73" s="73">
        <f t="shared" si="39"/>
        <v>0</v>
      </c>
      <c r="V73" s="48"/>
      <c r="W73" s="73">
        <f t="shared" si="40"/>
        <v>0</v>
      </c>
      <c r="Y73" s="48"/>
      <c r="Z73" s="73">
        <f t="shared" si="41"/>
        <v>0</v>
      </c>
      <c r="AA73" s="48"/>
      <c r="AB73" s="73">
        <f t="shared" si="42"/>
        <v>0</v>
      </c>
      <c r="AC73" s="48"/>
      <c r="AD73" s="73">
        <f t="shared" si="43"/>
        <v>0</v>
      </c>
      <c r="AE73" s="48"/>
      <c r="AF73" s="73">
        <f t="shared" si="44"/>
        <v>0</v>
      </c>
      <c r="AG73" s="2"/>
      <c r="AH73" s="48"/>
      <c r="AI73" s="73">
        <f t="shared" si="45"/>
        <v>0</v>
      </c>
      <c r="AJ73" s="48"/>
      <c r="AK73" s="73">
        <f t="shared" si="46"/>
        <v>0</v>
      </c>
      <c r="AL73" s="48"/>
      <c r="AM73" s="73">
        <f t="shared" si="47"/>
        <v>0</v>
      </c>
      <c r="AN73" s="48"/>
      <c r="AO73" s="73">
        <f t="shared" si="48"/>
        <v>0</v>
      </c>
      <c r="AP73" s="2"/>
      <c r="AQ73" s="48"/>
      <c r="AR73" s="73">
        <f t="shared" si="49"/>
        <v>0</v>
      </c>
      <c r="AS73" s="48"/>
      <c r="AT73" s="73">
        <f t="shared" si="50"/>
        <v>0</v>
      </c>
      <c r="AU73" s="48"/>
      <c r="AV73" s="73">
        <f t="shared" si="51"/>
        <v>0</v>
      </c>
      <c r="AW73" s="48"/>
      <c r="AX73" s="73">
        <f t="shared" si="52"/>
        <v>0</v>
      </c>
      <c r="AZ73" s="48"/>
      <c r="BA73" s="73">
        <f t="shared" si="59"/>
        <v>0</v>
      </c>
      <c r="BB73" s="48"/>
      <c r="BC73" s="73">
        <f t="shared" si="60"/>
        <v>0</v>
      </c>
      <c r="BD73" s="48"/>
      <c r="BE73" s="73">
        <f t="shared" si="61"/>
        <v>0</v>
      </c>
      <c r="BF73" s="48"/>
      <c r="BG73" s="73">
        <f t="shared" si="62"/>
        <v>0</v>
      </c>
      <c r="BI73" s="48"/>
      <c r="BJ73" s="73">
        <f t="shared" si="54"/>
        <v>0</v>
      </c>
      <c r="BK73" s="48"/>
      <c r="BL73" s="73">
        <f t="shared" si="63"/>
        <v>0</v>
      </c>
      <c r="BM73" s="48"/>
      <c r="BN73" s="73">
        <f t="shared" si="64"/>
        <v>0</v>
      </c>
      <c r="BO73" s="48"/>
      <c r="BP73" s="73">
        <f t="shared" si="65"/>
        <v>0</v>
      </c>
      <c r="BR73" s="48"/>
      <c r="BS73" s="73">
        <f t="shared" si="66"/>
        <v>0</v>
      </c>
      <c r="BT73" s="48"/>
      <c r="BU73" s="73">
        <f t="shared" si="67"/>
        <v>0</v>
      </c>
      <c r="BW73" s="48"/>
      <c r="BX73" s="73">
        <f t="shared" si="68"/>
        <v>0</v>
      </c>
      <c r="BZ73" s="48"/>
      <c r="CA73" s="73">
        <f t="shared" si="69"/>
        <v>0</v>
      </c>
    </row>
    <row r="74" spans="1:79" thickBot="1">
      <c r="A74" s="21">
        <v>68</v>
      </c>
      <c r="B74" s="39"/>
      <c r="C74" s="40"/>
      <c r="D74" s="56"/>
      <c r="E74" s="70">
        <f t="shared" si="55"/>
        <v>0</v>
      </c>
      <c r="F74" s="70">
        <f t="shared" si="56"/>
        <v>0</v>
      </c>
      <c r="G74" s="71">
        <f t="shared" si="57"/>
        <v>0</v>
      </c>
      <c r="H74" s="71">
        <f t="shared" si="58"/>
        <v>0</v>
      </c>
      <c r="I74" s="72">
        <f t="shared" si="53"/>
        <v>0</v>
      </c>
      <c r="J74" s="150"/>
      <c r="K74" s="48"/>
      <c r="L74" s="73">
        <f t="shared" si="35"/>
        <v>0</v>
      </c>
      <c r="M74" s="48"/>
      <c r="N74" s="73">
        <f t="shared" si="36"/>
        <v>0</v>
      </c>
      <c r="P74" s="48"/>
      <c r="Q74" s="73">
        <f t="shared" si="37"/>
        <v>0</v>
      </c>
      <c r="R74" s="48"/>
      <c r="S74" s="73">
        <f t="shared" si="38"/>
        <v>0</v>
      </c>
      <c r="T74" s="48"/>
      <c r="U74" s="73">
        <f t="shared" si="39"/>
        <v>0</v>
      </c>
      <c r="V74" s="48"/>
      <c r="W74" s="73">
        <f t="shared" si="40"/>
        <v>0</v>
      </c>
      <c r="Y74" s="48"/>
      <c r="Z74" s="73">
        <f t="shared" si="41"/>
        <v>0</v>
      </c>
      <c r="AA74" s="48"/>
      <c r="AB74" s="73">
        <f t="shared" si="42"/>
        <v>0</v>
      </c>
      <c r="AC74" s="48"/>
      <c r="AD74" s="73">
        <f t="shared" si="43"/>
        <v>0</v>
      </c>
      <c r="AE74" s="48"/>
      <c r="AF74" s="73">
        <f t="shared" si="44"/>
        <v>0</v>
      </c>
      <c r="AG74" s="2"/>
      <c r="AH74" s="48"/>
      <c r="AI74" s="73">
        <f t="shared" si="45"/>
        <v>0</v>
      </c>
      <c r="AJ74" s="48"/>
      <c r="AK74" s="73">
        <f t="shared" si="46"/>
        <v>0</v>
      </c>
      <c r="AL74" s="48"/>
      <c r="AM74" s="73">
        <f t="shared" si="47"/>
        <v>0</v>
      </c>
      <c r="AN74" s="48"/>
      <c r="AO74" s="73">
        <f t="shared" si="48"/>
        <v>0</v>
      </c>
      <c r="AP74" s="2"/>
      <c r="AQ74" s="48"/>
      <c r="AR74" s="73">
        <f t="shared" si="49"/>
        <v>0</v>
      </c>
      <c r="AS74" s="48"/>
      <c r="AT74" s="73">
        <f t="shared" si="50"/>
        <v>0</v>
      </c>
      <c r="AU74" s="48"/>
      <c r="AV74" s="73">
        <f t="shared" si="51"/>
        <v>0</v>
      </c>
      <c r="AW74" s="48"/>
      <c r="AX74" s="73">
        <f t="shared" si="52"/>
        <v>0</v>
      </c>
      <c r="AZ74" s="48"/>
      <c r="BA74" s="73">
        <f t="shared" si="59"/>
        <v>0</v>
      </c>
      <c r="BB74" s="48"/>
      <c r="BC74" s="73">
        <f t="shared" si="60"/>
        <v>0</v>
      </c>
      <c r="BD74" s="48"/>
      <c r="BE74" s="73">
        <f t="shared" si="61"/>
        <v>0</v>
      </c>
      <c r="BF74" s="48"/>
      <c r="BG74" s="73">
        <f t="shared" si="62"/>
        <v>0</v>
      </c>
      <c r="BI74" s="48"/>
      <c r="BJ74" s="73">
        <f t="shared" si="54"/>
        <v>0</v>
      </c>
      <c r="BK74" s="48"/>
      <c r="BL74" s="73">
        <f t="shared" si="63"/>
        <v>0</v>
      </c>
      <c r="BM74" s="48"/>
      <c r="BN74" s="73">
        <f t="shared" si="64"/>
        <v>0</v>
      </c>
      <c r="BO74" s="48"/>
      <c r="BP74" s="73">
        <f t="shared" si="65"/>
        <v>0</v>
      </c>
      <c r="BR74" s="48"/>
      <c r="BS74" s="73">
        <f t="shared" si="66"/>
        <v>0</v>
      </c>
      <c r="BT74" s="48"/>
      <c r="BU74" s="73">
        <f t="shared" si="67"/>
        <v>0</v>
      </c>
      <c r="BW74" s="48"/>
      <c r="BX74" s="73">
        <f t="shared" si="68"/>
        <v>0</v>
      </c>
      <c r="BZ74" s="48"/>
      <c r="CA74" s="73">
        <f t="shared" si="69"/>
        <v>0</v>
      </c>
    </row>
    <row r="75" spans="1:79" thickBot="1">
      <c r="A75" s="24">
        <v>69</v>
      </c>
      <c r="B75" s="39"/>
      <c r="C75" s="40"/>
      <c r="D75" s="56"/>
      <c r="E75" s="70">
        <f t="shared" si="55"/>
        <v>0</v>
      </c>
      <c r="F75" s="70">
        <f t="shared" si="56"/>
        <v>0</v>
      </c>
      <c r="G75" s="71">
        <f t="shared" si="57"/>
        <v>0</v>
      </c>
      <c r="H75" s="71">
        <f t="shared" si="58"/>
        <v>0</v>
      </c>
      <c r="I75" s="72">
        <f t="shared" si="53"/>
        <v>0</v>
      </c>
      <c r="J75" s="150"/>
      <c r="K75" s="48"/>
      <c r="L75" s="73">
        <f t="shared" si="35"/>
        <v>0</v>
      </c>
      <c r="M75" s="48"/>
      <c r="N75" s="73">
        <f t="shared" si="36"/>
        <v>0</v>
      </c>
      <c r="P75" s="48"/>
      <c r="Q75" s="73">
        <f t="shared" si="37"/>
        <v>0</v>
      </c>
      <c r="R75" s="48"/>
      <c r="S75" s="73">
        <f t="shared" si="38"/>
        <v>0</v>
      </c>
      <c r="T75" s="48"/>
      <c r="U75" s="73">
        <f t="shared" si="39"/>
        <v>0</v>
      </c>
      <c r="V75" s="48"/>
      <c r="W75" s="73">
        <f t="shared" si="40"/>
        <v>0</v>
      </c>
      <c r="Y75" s="48"/>
      <c r="Z75" s="73">
        <f t="shared" si="41"/>
        <v>0</v>
      </c>
      <c r="AA75" s="48"/>
      <c r="AB75" s="73">
        <f t="shared" si="42"/>
        <v>0</v>
      </c>
      <c r="AC75" s="48"/>
      <c r="AD75" s="73">
        <f t="shared" si="43"/>
        <v>0</v>
      </c>
      <c r="AE75" s="48"/>
      <c r="AF75" s="73">
        <f t="shared" si="44"/>
        <v>0</v>
      </c>
      <c r="AG75" s="2"/>
      <c r="AH75" s="48"/>
      <c r="AI75" s="73">
        <f t="shared" si="45"/>
        <v>0</v>
      </c>
      <c r="AJ75" s="48"/>
      <c r="AK75" s="73">
        <f t="shared" si="46"/>
        <v>0</v>
      </c>
      <c r="AL75" s="48"/>
      <c r="AM75" s="73">
        <f t="shared" si="47"/>
        <v>0</v>
      </c>
      <c r="AN75" s="48"/>
      <c r="AO75" s="73">
        <f t="shared" si="48"/>
        <v>0</v>
      </c>
      <c r="AP75" s="2"/>
      <c r="AQ75" s="48"/>
      <c r="AR75" s="73">
        <f t="shared" si="49"/>
        <v>0</v>
      </c>
      <c r="AS75" s="48"/>
      <c r="AT75" s="73">
        <f t="shared" si="50"/>
        <v>0</v>
      </c>
      <c r="AU75" s="48"/>
      <c r="AV75" s="73">
        <f t="shared" si="51"/>
        <v>0</v>
      </c>
      <c r="AW75" s="48"/>
      <c r="AX75" s="73">
        <f t="shared" si="52"/>
        <v>0</v>
      </c>
      <c r="AZ75" s="48"/>
      <c r="BA75" s="73">
        <f t="shared" si="59"/>
        <v>0</v>
      </c>
      <c r="BB75" s="48"/>
      <c r="BC75" s="73">
        <f t="shared" si="60"/>
        <v>0</v>
      </c>
      <c r="BD75" s="48"/>
      <c r="BE75" s="73">
        <f t="shared" si="61"/>
        <v>0</v>
      </c>
      <c r="BF75" s="48"/>
      <c r="BG75" s="73">
        <f t="shared" si="62"/>
        <v>0</v>
      </c>
      <c r="BI75" s="48"/>
      <c r="BJ75" s="73">
        <f t="shared" si="54"/>
        <v>0</v>
      </c>
      <c r="BK75" s="48"/>
      <c r="BL75" s="73">
        <f t="shared" si="63"/>
        <v>0</v>
      </c>
      <c r="BM75" s="48"/>
      <c r="BN75" s="73">
        <f t="shared" si="64"/>
        <v>0</v>
      </c>
      <c r="BO75" s="48"/>
      <c r="BP75" s="73">
        <f t="shared" si="65"/>
        <v>0</v>
      </c>
      <c r="BR75" s="48"/>
      <c r="BS75" s="73">
        <f t="shared" si="66"/>
        <v>0</v>
      </c>
      <c r="BT75" s="48"/>
      <c r="BU75" s="73">
        <f t="shared" si="67"/>
        <v>0</v>
      </c>
      <c r="BW75" s="48"/>
      <c r="BX75" s="73">
        <f t="shared" si="68"/>
        <v>0</v>
      </c>
      <c r="BZ75" s="48"/>
      <c r="CA75" s="73">
        <f t="shared" si="69"/>
        <v>0</v>
      </c>
    </row>
    <row r="76" spans="1:79" thickBot="1">
      <c r="A76" s="21">
        <v>70</v>
      </c>
      <c r="B76" s="39"/>
      <c r="C76" s="40"/>
      <c r="D76" s="56"/>
      <c r="E76" s="70">
        <f t="shared" si="55"/>
        <v>0</v>
      </c>
      <c r="F76" s="70">
        <f t="shared" si="56"/>
        <v>0</v>
      </c>
      <c r="G76" s="71">
        <f t="shared" si="57"/>
        <v>0</v>
      </c>
      <c r="H76" s="71">
        <f t="shared" si="58"/>
        <v>0</v>
      </c>
      <c r="I76" s="72">
        <f t="shared" si="53"/>
        <v>0</v>
      </c>
      <c r="J76" s="150"/>
      <c r="K76" s="48"/>
      <c r="L76" s="73">
        <f t="shared" si="35"/>
        <v>0</v>
      </c>
      <c r="M76" s="48"/>
      <c r="N76" s="73">
        <f t="shared" si="36"/>
        <v>0</v>
      </c>
      <c r="P76" s="48"/>
      <c r="Q76" s="73">
        <f t="shared" si="37"/>
        <v>0</v>
      </c>
      <c r="R76" s="48"/>
      <c r="S76" s="73">
        <f t="shared" si="38"/>
        <v>0</v>
      </c>
      <c r="T76" s="48"/>
      <c r="U76" s="73">
        <f t="shared" si="39"/>
        <v>0</v>
      </c>
      <c r="V76" s="48"/>
      <c r="W76" s="73">
        <f t="shared" si="40"/>
        <v>0</v>
      </c>
      <c r="Y76" s="48"/>
      <c r="Z76" s="73">
        <f t="shared" si="41"/>
        <v>0</v>
      </c>
      <c r="AA76" s="48"/>
      <c r="AB76" s="73">
        <f t="shared" si="42"/>
        <v>0</v>
      </c>
      <c r="AC76" s="48"/>
      <c r="AD76" s="73">
        <f t="shared" si="43"/>
        <v>0</v>
      </c>
      <c r="AE76" s="48"/>
      <c r="AF76" s="73">
        <f t="shared" si="44"/>
        <v>0</v>
      </c>
      <c r="AG76" s="2"/>
      <c r="AH76" s="48"/>
      <c r="AI76" s="73">
        <f t="shared" si="45"/>
        <v>0</v>
      </c>
      <c r="AJ76" s="48"/>
      <c r="AK76" s="73">
        <f t="shared" si="46"/>
        <v>0</v>
      </c>
      <c r="AL76" s="48"/>
      <c r="AM76" s="73">
        <f t="shared" si="47"/>
        <v>0</v>
      </c>
      <c r="AN76" s="48"/>
      <c r="AO76" s="73">
        <f t="shared" si="48"/>
        <v>0</v>
      </c>
      <c r="AP76" s="2"/>
      <c r="AQ76" s="48"/>
      <c r="AR76" s="73">
        <f t="shared" si="49"/>
        <v>0</v>
      </c>
      <c r="AS76" s="48"/>
      <c r="AT76" s="73">
        <f t="shared" si="50"/>
        <v>0</v>
      </c>
      <c r="AU76" s="48"/>
      <c r="AV76" s="73">
        <f t="shared" si="51"/>
        <v>0</v>
      </c>
      <c r="AW76" s="48"/>
      <c r="AX76" s="73">
        <f t="shared" si="52"/>
        <v>0</v>
      </c>
      <c r="AZ76" s="48"/>
      <c r="BA76" s="73">
        <f t="shared" si="59"/>
        <v>0</v>
      </c>
      <c r="BB76" s="48"/>
      <c r="BC76" s="73">
        <f t="shared" si="60"/>
        <v>0</v>
      </c>
      <c r="BD76" s="48"/>
      <c r="BE76" s="73">
        <f t="shared" si="61"/>
        <v>0</v>
      </c>
      <c r="BF76" s="48"/>
      <c r="BG76" s="73">
        <f t="shared" si="62"/>
        <v>0</v>
      </c>
      <c r="BI76" s="48"/>
      <c r="BJ76" s="73">
        <f t="shared" si="54"/>
        <v>0</v>
      </c>
      <c r="BK76" s="48"/>
      <c r="BL76" s="73">
        <f t="shared" si="63"/>
        <v>0</v>
      </c>
      <c r="BM76" s="48"/>
      <c r="BN76" s="73">
        <f t="shared" si="64"/>
        <v>0</v>
      </c>
      <c r="BO76" s="48"/>
      <c r="BP76" s="73">
        <f t="shared" si="65"/>
        <v>0</v>
      </c>
      <c r="BR76" s="48"/>
      <c r="BS76" s="73">
        <f t="shared" si="66"/>
        <v>0</v>
      </c>
      <c r="BT76" s="48"/>
      <c r="BU76" s="73">
        <f t="shared" si="67"/>
        <v>0</v>
      </c>
      <c r="BW76" s="48"/>
      <c r="BX76" s="73">
        <f t="shared" si="68"/>
        <v>0</v>
      </c>
      <c r="BZ76" s="48"/>
      <c r="CA76" s="73">
        <f t="shared" si="69"/>
        <v>0</v>
      </c>
    </row>
    <row r="77" spans="1:79" thickBot="1">
      <c r="A77" s="24">
        <v>71</v>
      </c>
      <c r="B77" s="39"/>
      <c r="C77" s="40"/>
      <c r="D77" s="56"/>
      <c r="E77" s="70">
        <f t="shared" si="55"/>
        <v>0</v>
      </c>
      <c r="F77" s="70">
        <f t="shared" si="56"/>
        <v>0</v>
      </c>
      <c r="G77" s="71">
        <f t="shared" si="57"/>
        <v>0</v>
      </c>
      <c r="H77" s="71">
        <f t="shared" si="58"/>
        <v>0</v>
      </c>
      <c r="I77" s="72">
        <f t="shared" si="53"/>
        <v>0</v>
      </c>
      <c r="J77" s="150"/>
      <c r="K77" s="48"/>
      <c r="L77" s="73">
        <f t="shared" si="35"/>
        <v>0</v>
      </c>
      <c r="M77" s="48"/>
      <c r="N77" s="73">
        <f t="shared" si="36"/>
        <v>0</v>
      </c>
      <c r="P77" s="48"/>
      <c r="Q77" s="73">
        <f t="shared" si="37"/>
        <v>0</v>
      </c>
      <c r="R77" s="48"/>
      <c r="S77" s="73">
        <f t="shared" si="38"/>
        <v>0</v>
      </c>
      <c r="T77" s="48"/>
      <c r="U77" s="73">
        <f t="shared" si="39"/>
        <v>0</v>
      </c>
      <c r="V77" s="48"/>
      <c r="W77" s="73">
        <f t="shared" si="40"/>
        <v>0</v>
      </c>
      <c r="Y77" s="48"/>
      <c r="Z77" s="73">
        <f t="shared" si="41"/>
        <v>0</v>
      </c>
      <c r="AA77" s="48"/>
      <c r="AB77" s="73">
        <f t="shared" si="42"/>
        <v>0</v>
      </c>
      <c r="AC77" s="48"/>
      <c r="AD77" s="73">
        <f t="shared" si="43"/>
        <v>0</v>
      </c>
      <c r="AE77" s="48"/>
      <c r="AF77" s="73">
        <f t="shared" si="44"/>
        <v>0</v>
      </c>
      <c r="AG77" s="2"/>
      <c r="AH77" s="48"/>
      <c r="AI77" s="73">
        <f t="shared" si="45"/>
        <v>0</v>
      </c>
      <c r="AJ77" s="48"/>
      <c r="AK77" s="73">
        <f t="shared" si="46"/>
        <v>0</v>
      </c>
      <c r="AL77" s="48"/>
      <c r="AM77" s="73">
        <f t="shared" si="47"/>
        <v>0</v>
      </c>
      <c r="AN77" s="48"/>
      <c r="AO77" s="73">
        <f t="shared" si="48"/>
        <v>0</v>
      </c>
      <c r="AP77" s="2"/>
      <c r="AQ77" s="48"/>
      <c r="AR77" s="73">
        <f t="shared" si="49"/>
        <v>0</v>
      </c>
      <c r="AS77" s="48"/>
      <c r="AT77" s="73">
        <f t="shared" si="50"/>
        <v>0</v>
      </c>
      <c r="AU77" s="48"/>
      <c r="AV77" s="73">
        <f t="shared" si="51"/>
        <v>0</v>
      </c>
      <c r="AW77" s="48"/>
      <c r="AX77" s="73">
        <f t="shared" si="52"/>
        <v>0</v>
      </c>
      <c r="AZ77" s="48"/>
      <c r="BA77" s="73">
        <f t="shared" si="59"/>
        <v>0</v>
      </c>
      <c r="BB77" s="48"/>
      <c r="BC77" s="73">
        <f t="shared" si="60"/>
        <v>0</v>
      </c>
      <c r="BD77" s="48"/>
      <c r="BE77" s="73">
        <f t="shared" si="61"/>
        <v>0</v>
      </c>
      <c r="BF77" s="48"/>
      <c r="BG77" s="73">
        <f t="shared" si="62"/>
        <v>0</v>
      </c>
      <c r="BI77" s="48"/>
      <c r="BJ77" s="73">
        <f t="shared" si="54"/>
        <v>0</v>
      </c>
      <c r="BK77" s="48"/>
      <c r="BL77" s="73">
        <f t="shared" si="63"/>
        <v>0</v>
      </c>
      <c r="BM77" s="48"/>
      <c r="BN77" s="73">
        <f t="shared" si="64"/>
        <v>0</v>
      </c>
      <c r="BO77" s="48"/>
      <c r="BP77" s="73">
        <f t="shared" si="65"/>
        <v>0</v>
      </c>
      <c r="BR77" s="48"/>
      <c r="BS77" s="73">
        <f t="shared" si="66"/>
        <v>0</v>
      </c>
      <c r="BT77" s="48"/>
      <c r="BU77" s="73">
        <f t="shared" si="67"/>
        <v>0</v>
      </c>
      <c r="BW77" s="48"/>
      <c r="BX77" s="73">
        <f t="shared" si="68"/>
        <v>0</v>
      </c>
      <c r="BZ77" s="48"/>
      <c r="CA77" s="73">
        <f t="shared" si="69"/>
        <v>0</v>
      </c>
    </row>
    <row r="78" spans="1:79" thickBot="1">
      <c r="A78" s="21">
        <v>72</v>
      </c>
      <c r="B78" s="39"/>
      <c r="C78" s="40"/>
      <c r="D78" s="56"/>
      <c r="E78" s="70">
        <f t="shared" si="55"/>
        <v>0</v>
      </c>
      <c r="F78" s="70">
        <f t="shared" si="56"/>
        <v>0</v>
      </c>
      <c r="G78" s="71">
        <f t="shared" si="57"/>
        <v>0</v>
      </c>
      <c r="H78" s="71">
        <f t="shared" si="58"/>
        <v>0</v>
      </c>
      <c r="I78" s="72">
        <f t="shared" si="53"/>
        <v>0</v>
      </c>
      <c r="J78" s="150"/>
      <c r="K78" s="48"/>
      <c r="L78" s="73">
        <f t="shared" si="35"/>
        <v>0</v>
      </c>
      <c r="M78" s="48"/>
      <c r="N78" s="73">
        <f t="shared" si="36"/>
        <v>0</v>
      </c>
      <c r="P78" s="48"/>
      <c r="Q78" s="73">
        <f t="shared" si="37"/>
        <v>0</v>
      </c>
      <c r="R78" s="48"/>
      <c r="S78" s="73">
        <f t="shared" si="38"/>
        <v>0</v>
      </c>
      <c r="T78" s="48"/>
      <c r="U78" s="73">
        <f t="shared" si="39"/>
        <v>0</v>
      </c>
      <c r="V78" s="48"/>
      <c r="W78" s="73">
        <f t="shared" si="40"/>
        <v>0</v>
      </c>
      <c r="Y78" s="48"/>
      <c r="Z78" s="73">
        <f t="shared" si="41"/>
        <v>0</v>
      </c>
      <c r="AA78" s="48"/>
      <c r="AB78" s="73">
        <f t="shared" si="42"/>
        <v>0</v>
      </c>
      <c r="AC78" s="48"/>
      <c r="AD78" s="73">
        <f t="shared" si="43"/>
        <v>0</v>
      </c>
      <c r="AE78" s="48"/>
      <c r="AF78" s="73">
        <f t="shared" si="44"/>
        <v>0</v>
      </c>
      <c r="AG78" s="2"/>
      <c r="AH78" s="48"/>
      <c r="AI78" s="73">
        <f t="shared" si="45"/>
        <v>0</v>
      </c>
      <c r="AJ78" s="48"/>
      <c r="AK78" s="73">
        <f t="shared" si="46"/>
        <v>0</v>
      </c>
      <c r="AL78" s="48"/>
      <c r="AM78" s="73">
        <f t="shared" si="47"/>
        <v>0</v>
      </c>
      <c r="AN78" s="48"/>
      <c r="AO78" s="73">
        <f t="shared" si="48"/>
        <v>0</v>
      </c>
      <c r="AP78" s="2"/>
      <c r="AQ78" s="48"/>
      <c r="AR78" s="73">
        <f t="shared" si="49"/>
        <v>0</v>
      </c>
      <c r="AS78" s="48"/>
      <c r="AT78" s="73">
        <f t="shared" si="50"/>
        <v>0</v>
      </c>
      <c r="AU78" s="48"/>
      <c r="AV78" s="73">
        <f t="shared" si="51"/>
        <v>0</v>
      </c>
      <c r="AW78" s="48"/>
      <c r="AX78" s="73">
        <f t="shared" si="52"/>
        <v>0</v>
      </c>
      <c r="AZ78" s="48"/>
      <c r="BA78" s="73">
        <f t="shared" si="59"/>
        <v>0</v>
      </c>
      <c r="BB78" s="48"/>
      <c r="BC78" s="73">
        <f t="shared" si="60"/>
        <v>0</v>
      </c>
      <c r="BD78" s="48"/>
      <c r="BE78" s="73">
        <f t="shared" si="61"/>
        <v>0</v>
      </c>
      <c r="BF78" s="48"/>
      <c r="BG78" s="73">
        <f t="shared" si="62"/>
        <v>0</v>
      </c>
      <c r="BI78" s="48"/>
      <c r="BJ78" s="73">
        <f t="shared" si="54"/>
        <v>0</v>
      </c>
      <c r="BK78" s="48"/>
      <c r="BL78" s="73">
        <f t="shared" si="63"/>
        <v>0</v>
      </c>
      <c r="BM78" s="48"/>
      <c r="BN78" s="73">
        <f t="shared" si="64"/>
        <v>0</v>
      </c>
      <c r="BO78" s="48"/>
      <c r="BP78" s="73">
        <f t="shared" si="65"/>
        <v>0</v>
      </c>
      <c r="BR78" s="48"/>
      <c r="BS78" s="73">
        <f t="shared" si="66"/>
        <v>0</v>
      </c>
      <c r="BT78" s="48"/>
      <c r="BU78" s="73">
        <f t="shared" si="67"/>
        <v>0</v>
      </c>
      <c r="BW78" s="48"/>
      <c r="BX78" s="73">
        <f t="shared" si="68"/>
        <v>0</v>
      </c>
      <c r="BZ78" s="48"/>
      <c r="CA78" s="73">
        <f t="shared" si="69"/>
        <v>0</v>
      </c>
    </row>
    <row r="79" spans="1:79" thickBot="1">
      <c r="A79" s="24">
        <v>73</v>
      </c>
      <c r="B79" s="39"/>
      <c r="C79" s="40"/>
      <c r="D79" s="56"/>
      <c r="E79" s="70">
        <f t="shared" si="55"/>
        <v>0</v>
      </c>
      <c r="F79" s="70">
        <f t="shared" si="56"/>
        <v>0</v>
      </c>
      <c r="G79" s="71">
        <f t="shared" si="57"/>
        <v>0</v>
      </c>
      <c r="H79" s="71">
        <f t="shared" si="58"/>
        <v>0</v>
      </c>
      <c r="I79" s="72">
        <f t="shared" si="53"/>
        <v>0</v>
      </c>
      <c r="J79" s="150"/>
      <c r="K79" s="48"/>
      <c r="L79" s="73">
        <f t="shared" si="35"/>
        <v>0</v>
      </c>
      <c r="M79" s="48"/>
      <c r="N79" s="73">
        <f t="shared" si="36"/>
        <v>0</v>
      </c>
      <c r="P79" s="48"/>
      <c r="Q79" s="73">
        <f t="shared" si="37"/>
        <v>0</v>
      </c>
      <c r="R79" s="48"/>
      <c r="S79" s="73">
        <f t="shared" si="38"/>
        <v>0</v>
      </c>
      <c r="T79" s="48"/>
      <c r="U79" s="73">
        <f t="shared" si="39"/>
        <v>0</v>
      </c>
      <c r="V79" s="48"/>
      <c r="W79" s="73">
        <f t="shared" si="40"/>
        <v>0</v>
      </c>
      <c r="Y79" s="48"/>
      <c r="Z79" s="73">
        <f t="shared" si="41"/>
        <v>0</v>
      </c>
      <c r="AA79" s="48"/>
      <c r="AB79" s="73">
        <f t="shared" si="42"/>
        <v>0</v>
      </c>
      <c r="AC79" s="48"/>
      <c r="AD79" s="73">
        <f t="shared" si="43"/>
        <v>0</v>
      </c>
      <c r="AE79" s="48"/>
      <c r="AF79" s="73">
        <f t="shared" si="44"/>
        <v>0</v>
      </c>
      <c r="AG79" s="2"/>
      <c r="AH79" s="48"/>
      <c r="AI79" s="73">
        <f t="shared" si="45"/>
        <v>0</v>
      </c>
      <c r="AJ79" s="48"/>
      <c r="AK79" s="73">
        <f t="shared" si="46"/>
        <v>0</v>
      </c>
      <c r="AL79" s="48"/>
      <c r="AM79" s="73">
        <f t="shared" si="47"/>
        <v>0</v>
      </c>
      <c r="AN79" s="48"/>
      <c r="AO79" s="73">
        <f t="shared" si="48"/>
        <v>0</v>
      </c>
      <c r="AP79" s="2"/>
      <c r="AQ79" s="48"/>
      <c r="AR79" s="73">
        <f t="shared" si="49"/>
        <v>0</v>
      </c>
      <c r="AS79" s="48"/>
      <c r="AT79" s="73">
        <f t="shared" si="50"/>
        <v>0</v>
      </c>
      <c r="AU79" s="48"/>
      <c r="AV79" s="73">
        <f t="shared" si="51"/>
        <v>0</v>
      </c>
      <c r="AW79" s="48"/>
      <c r="AX79" s="73">
        <f t="shared" si="52"/>
        <v>0</v>
      </c>
      <c r="AZ79" s="48"/>
      <c r="BA79" s="73">
        <f t="shared" si="59"/>
        <v>0</v>
      </c>
      <c r="BB79" s="48"/>
      <c r="BC79" s="73">
        <f t="shared" si="60"/>
        <v>0</v>
      </c>
      <c r="BD79" s="48"/>
      <c r="BE79" s="73">
        <f t="shared" si="61"/>
        <v>0</v>
      </c>
      <c r="BF79" s="48"/>
      <c r="BG79" s="73">
        <f t="shared" si="62"/>
        <v>0</v>
      </c>
      <c r="BI79" s="48"/>
      <c r="BJ79" s="73">
        <f t="shared" si="54"/>
        <v>0</v>
      </c>
      <c r="BK79" s="48"/>
      <c r="BL79" s="73">
        <f t="shared" si="63"/>
        <v>0</v>
      </c>
      <c r="BM79" s="48"/>
      <c r="BN79" s="73">
        <f t="shared" si="64"/>
        <v>0</v>
      </c>
      <c r="BO79" s="48"/>
      <c r="BP79" s="73">
        <f t="shared" si="65"/>
        <v>0</v>
      </c>
      <c r="BR79" s="48"/>
      <c r="BS79" s="73">
        <f t="shared" si="66"/>
        <v>0</v>
      </c>
      <c r="BT79" s="48"/>
      <c r="BU79" s="73">
        <f t="shared" si="67"/>
        <v>0</v>
      </c>
      <c r="BW79" s="48"/>
      <c r="BX79" s="73">
        <f t="shared" si="68"/>
        <v>0</v>
      </c>
      <c r="BZ79" s="48"/>
      <c r="CA79" s="73">
        <f t="shared" si="69"/>
        <v>0</v>
      </c>
    </row>
    <row r="80" spans="1:79" thickBot="1">
      <c r="A80" s="21">
        <v>74</v>
      </c>
      <c r="B80" s="39"/>
      <c r="C80" s="40"/>
      <c r="D80" s="56"/>
      <c r="E80" s="70">
        <f t="shared" si="55"/>
        <v>0</v>
      </c>
      <c r="F80" s="70">
        <f t="shared" si="56"/>
        <v>0</v>
      </c>
      <c r="G80" s="71">
        <f t="shared" si="57"/>
        <v>0</v>
      </c>
      <c r="H80" s="71">
        <f t="shared" si="58"/>
        <v>0</v>
      </c>
      <c r="I80" s="72">
        <f t="shared" si="53"/>
        <v>0</v>
      </c>
      <c r="J80" s="150"/>
      <c r="K80" s="48"/>
      <c r="L80" s="73">
        <f t="shared" si="35"/>
        <v>0</v>
      </c>
      <c r="M80" s="48"/>
      <c r="N80" s="73">
        <f t="shared" si="36"/>
        <v>0</v>
      </c>
      <c r="P80" s="48"/>
      <c r="Q80" s="73">
        <f t="shared" si="37"/>
        <v>0</v>
      </c>
      <c r="R80" s="48"/>
      <c r="S80" s="73">
        <f t="shared" si="38"/>
        <v>0</v>
      </c>
      <c r="T80" s="48"/>
      <c r="U80" s="73">
        <f t="shared" si="39"/>
        <v>0</v>
      </c>
      <c r="V80" s="48"/>
      <c r="W80" s="73">
        <f t="shared" si="40"/>
        <v>0</v>
      </c>
      <c r="Y80" s="48"/>
      <c r="Z80" s="73">
        <f t="shared" si="41"/>
        <v>0</v>
      </c>
      <c r="AA80" s="48"/>
      <c r="AB80" s="73">
        <f t="shared" si="42"/>
        <v>0</v>
      </c>
      <c r="AC80" s="48"/>
      <c r="AD80" s="73">
        <f t="shared" si="43"/>
        <v>0</v>
      </c>
      <c r="AE80" s="48"/>
      <c r="AF80" s="73">
        <f t="shared" si="44"/>
        <v>0</v>
      </c>
      <c r="AG80" s="2"/>
      <c r="AH80" s="48"/>
      <c r="AI80" s="73">
        <f t="shared" si="45"/>
        <v>0</v>
      </c>
      <c r="AJ80" s="48"/>
      <c r="AK80" s="73">
        <f t="shared" si="46"/>
        <v>0</v>
      </c>
      <c r="AL80" s="48"/>
      <c r="AM80" s="73">
        <f t="shared" si="47"/>
        <v>0</v>
      </c>
      <c r="AN80" s="48"/>
      <c r="AO80" s="73">
        <f t="shared" si="48"/>
        <v>0</v>
      </c>
      <c r="AP80" s="2"/>
      <c r="AQ80" s="48"/>
      <c r="AR80" s="73">
        <f t="shared" si="49"/>
        <v>0</v>
      </c>
      <c r="AS80" s="48"/>
      <c r="AT80" s="73">
        <f t="shared" si="50"/>
        <v>0</v>
      </c>
      <c r="AU80" s="48"/>
      <c r="AV80" s="73">
        <f t="shared" si="51"/>
        <v>0</v>
      </c>
      <c r="AW80" s="48"/>
      <c r="AX80" s="73">
        <f t="shared" si="52"/>
        <v>0</v>
      </c>
      <c r="AZ80" s="48"/>
      <c r="BA80" s="73">
        <f t="shared" si="59"/>
        <v>0</v>
      </c>
      <c r="BB80" s="48"/>
      <c r="BC80" s="73">
        <f t="shared" si="60"/>
        <v>0</v>
      </c>
      <c r="BD80" s="48"/>
      <c r="BE80" s="73">
        <f t="shared" si="61"/>
        <v>0</v>
      </c>
      <c r="BF80" s="48"/>
      <c r="BG80" s="73">
        <f t="shared" si="62"/>
        <v>0</v>
      </c>
      <c r="BI80" s="48"/>
      <c r="BJ80" s="73">
        <f t="shared" si="54"/>
        <v>0</v>
      </c>
      <c r="BK80" s="48"/>
      <c r="BL80" s="73">
        <f>_xlfn.LET(
    _xlpm.FinalScore, TRIM(SUBSTITUTE($AW$6," ","")),
    _xlpm.UserGuess, TRIM(SUBSTITUTE(BK80,"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BK80=""),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M80" s="48"/>
      <c r="BN80" s="73">
        <f t="shared" si="64"/>
        <v>0</v>
      </c>
      <c r="BO80" s="48"/>
      <c r="BP80" s="73">
        <f t="shared" si="65"/>
        <v>0</v>
      </c>
      <c r="BR80" s="48"/>
      <c r="BS80" s="73">
        <f t="shared" si="66"/>
        <v>0</v>
      </c>
      <c r="BT80" s="48"/>
      <c r="BU80" s="73">
        <f t="shared" si="67"/>
        <v>0</v>
      </c>
      <c r="BW80" s="48"/>
      <c r="BX80" s="73">
        <f t="shared" si="68"/>
        <v>0</v>
      </c>
      <c r="BZ80" s="48"/>
      <c r="CA80" s="73">
        <f t="shared" si="69"/>
        <v>0</v>
      </c>
    </row>
    <row r="81" spans="1:79" thickBot="1">
      <c r="A81" s="24">
        <v>75</v>
      </c>
      <c r="B81" s="39"/>
      <c r="C81" s="40"/>
      <c r="D81" s="56"/>
      <c r="E81" s="70">
        <f t="shared" si="55"/>
        <v>0</v>
      </c>
      <c r="F81" s="70">
        <f t="shared" si="56"/>
        <v>0</v>
      </c>
      <c r="G81" s="71">
        <f t="shared" si="57"/>
        <v>0</v>
      </c>
      <c r="H81" s="71">
        <f t="shared" si="58"/>
        <v>0</v>
      </c>
      <c r="I81" s="72">
        <f t="shared" si="53"/>
        <v>0</v>
      </c>
      <c r="J81" s="150"/>
      <c r="K81" s="48"/>
      <c r="L81" s="73">
        <f t="shared" si="35"/>
        <v>0</v>
      </c>
      <c r="M81" s="48"/>
      <c r="N81" s="73">
        <f t="shared" si="36"/>
        <v>0</v>
      </c>
      <c r="P81" s="48"/>
      <c r="Q81" s="73">
        <f t="shared" si="37"/>
        <v>0</v>
      </c>
      <c r="R81" s="48"/>
      <c r="S81" s="73">
        <f t="shared" si="38"/>
        <v>0</v>
      </c>
      <c r="T81" s="48"/>
      <c r="U81" s="73">
        <f t="shared" si="39"/>
        <v>0</v>
      </c>
      <c r="V81" s="48"/>
      <c r="W81" s="73">
        <f t="shared" si="40"/>
        <v>0</v>
      </c>
      <c r="Y81" s="48"/>
      <c r="Z81" s="73">
        <f t="shared" si="41"/>
        <v>0</v>
      </c>
      <c r="AA81" s="48"/>
      <c r="AB81" s="73">
        <f t="shared" si="42"/>
        <v>0</v>
      </c>
      <c r="AC81" s="48"/>
      <c r="AD81" s="73">
        <f t="shared" si="43"/>
        <v>0</v>
      </c>
      <c r="AE81" s="48"/>
      <c r="AF81" s="73">
        <f t="shared" si="44"/>
        <v>0</v>
      </c>
      <c r="AG81" s="2"/>
      <c r="AH81" s="48"/>
      <c r="AI81" s="73">
        <f t="shared" si="45"/>
        <v>0</v>
      </c>
      <c r="AJ81" s="48"/>
      <c r="AK81" s="73">
        <f t="shared" si="46"/>
        <v>0</v>
      </c>
      <c r="AL81" s="48"/>
      <c r="AM81" s="73">
        <f t="shared" si="47"/>
        <v>0</v>
      </c>
      <c r="AN81" s="48"/>
      <c r="AO81" s="73">
        <f t="shared" si="48"/>
        <v>0</v>
      </c>
      <c r="AP81" s="2"/>
      <c r="AQ81" s="48"/>
      <c r="AR81" s="73">
        <f t="shared" si="49"/>
        <v>0</v>
      </c>
      <c r="AS81" s="48"/>
      <c r="AT81" s="73">
        <f t="shared" si="50"/>
        <v>0</v>
      </c>
      <c r="AU81" s="48"/>
      <c r="AV81" s="73">
        <f t="shared" si="51"/>
        <v>0</v>
      </c>
      <c r="AW81" s="48"/>
      <c r="AX81" s="73">
        <f t="shared" si="52"/>
        <v>0</v>
      </c>
      <c r="AZ81" s="48"/>
      <c r="BA81" s="73">
        <f t="shared" si="59"/>
        <v>0</v>
      </c>
      <c r="BB81" s="48"/>
      <c r="BC81" s="73">
        <f t="shared" si="60"/>
        <v>0</v>
      </c>
      <c r="BD81" s="48"/>
      <c r="BE81" s="73">
        <f t="shared" si="61"/>
        <v>0</v>
      </c>
      <c r="BF81" s="48"/>
      <c r="BG81" s="73">
        <f t="shared" si="62"/>
        <v>0</v>
      </c>
      <c r="BI81" s="48"/>
      <c r="BJ81" s="73">
        <f t="shared" si="54"/>
        <v>0</v>
      </c>
      <c r="BK81" s="48"/>
      <c r="BL81" s="73">
        <f t="shared" ref="BL81:BL107" si="70">_xlfn.LET(
    _xlpm.FinalScore, TRIM(SUBSTITUTE($AW$6," ","")),
    _xlpm.UserGuess, TRIM(SUBSTITUTE(BK81,"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BK81=""),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  <c r="BM81" s="48"/>
      <c r="BN81" s="73">
        <f t="shared" si="64"/>
        <v>0</v>
      </c>
      <c r="BO81" s="48"/>
      <c r="BP81" s="73">
        <f t="shared" si="65"/>
        <v>0</v>
      </c>
      <c r="BR81" s="48"/>
      <c r="BS81" s="73">
        <f t="shared" si="66"/>
        <v>0</v>
      </c>
      <c r="BT81" s="48"/>
      <c r="BU81" s="73">
        <f t="shared" si="67"/>
        <v>0</v>
      </c>
      <c r="BW81" s="48"/>
      <c r="BX81" s="73">
        <f t="shared" si="68"/>
        <v>0</v>
      </c>
      <c r="BZ81" s="48"/>
      <c r="CA81" s="73">
        <f t="shared" si="69"/>
        <v>0</v>
      </c>
    </row>
    <row r="82" spans="1:79" thickBot="1">
      <c r="A82" s="21">
        <v>76</v>
      </c>
      <c r="B82" s="39"/>
      <c r="C82" s="40"/>
      <c r="D82" s="56"/>
      <c r="E82" s="70">
        <f t="shared" si="55"/>
        <v>0</v>
      </c>
      <c r="F82" s="70">
        <f t="shared" si="56"/>
        <v>0</v>
      </c>
      <c r="G82" s="71">
        <f t="shared" si="57"/>
        <v>0</v>
      </c>
      <c r="H82" s="71">
        <f t="shared" si="58"/>
        <v>0</v>
      </c>
      <c r="I82" s="72">
        <f t="shared" si="53"/>
        <v>0</v>
      </c>
      <c r="J82" s="150"/>
      <c r="K82" s="48"/>
      <c r="L82" s="73">
        <f t="shared" si="35"/>
        <v>0</v>
      </c>
      <c r="M82" s="48"/>
      <c r="N82" s="73">
        <f t="shared" si="36"/>
        <v>0</v>
      </c>
      <c r="P82" s="48"/>
      <c r="Q82" s="73">
        <f t="shared" si="37"/>
        <v>0</v>
      </c>
      <c r="R82" s="48"/>
      <c r="S82" s="73">
        <f t="shared" si="38"/>
        <v>0</v>
      </c>
      <c r="T82" s="48"/>
      <c r="U82" s="73">
        <f t="shared" si="39"/>
        <v>0</v>
      </c>
      <c r="V82" s="48"/>
      <c r="W82" s="73">
        <f t="shared" si="40"/>
        <v>0</v>
      </c>
      <c r="Y82" s="48"/>
      <c r="Z82" s="73">
        <f t="shared" si="41"/>
        <v>0</v>
      </c>
      <c r="AA82" s="48"/>
      <c r="AB82" s="73">
        <f t="shared" si="42"/>
        <v>0</v>
      </c>
      <c r="AC82" s="48"/>
      <c r="AD82" s="73">
        <f t="shared" si="43"/>
        <v>0</v>
      </c>
      <c r="AE82" s="48"/>
      <c r="AF82" s="73">
        <f t="shared" si="44"/>
        <v>0</v>
      </c>
      <c r="AG82" s="2"/>
      <c r="AH82" s="48"/>
      <c r="AI82" s="73">
        <f t="shared" si="45"/>
        <v>0</v>
      </c>
      <c r="AJ82" s="48"/>
      <c r="AK82" s="73">
        <f t="shared" si="46"/>
        <v>0</v>
      </c>
      <c r="AL82" s="48"/>
      <c r="AM82" s="73">
        <f t="shared" si="47"/>
        <v>0</v>
      </c>
      <c r="AN82" s="48"/>
      <c r="AO82" s="73">
        <f t="shared" si="48"/>
        <v>0</v>
      </c>
      <c r="AP82" s="2"/>
      <c r="AQ82" s="48"/>
      <c r="AR82" s="73">
        <f t="shared" si="49"/>
        <v>0</v>
      </c>
      <c r="AS82" s="48"/>
      <c r="AT82" s="73">
        <f t="shared" si="50"/>
        <v>0</v>
      </c>
      <c r="AU82" s="48"/>
      <c r="AV82" s="73">
        <f t="shared" si="51"/>
        <v>0</v>
      </c>
      <c r="AW82" s="48"/>
      <c r="AX82" s="73">
        <f t="shared" si="52"/>
        <v>0</v>
      </c>
      <c r="AZ82" s="48"/>
      <c r="BA82" s="73">
        <f t="shared" si="59"/>
        <v>0</v>
      </c>
      <c r="BB82" s="48"/>
      <c r="BC82" s="73">
        <f t="shared" si="60"/>
        <v>0</v>
      </c>
      <c r="BD82" s="48"/>
      <c r="BE82" s="73">
        <f t="shared" si="61"/>
        <v>0</v>
      </c>
      <c r="BF82" s="48"/>
      <c r="BG82" s="73">
        <f t="shared" si="62"/>
        <v>0</v>
      </c>
      <c r="BI82" s="48"/>
      <c r="BJ82" s="73">
        <f t="shared" si="54"/>
        <v>0</v>
      </c>
      <c r="BK82" s="48"/>
      <c r="BL82" s="73">
        <f t="shared" si="70"/>
        <v>0</v>
      </c>
      <c r="BM82" s="48"/>
      <c r="BN82" s="73">
        <f t="shared" si="64"/>
        <v>0</v>
      </c>
      <c r="BO82" s="48"/>
      <c r="BP82" s="73">
        <f t="shared" si="65"/>
        <v>0</v>
      </c>
      <c r="BR82" s="48"/>
      <c r="BS82" s="73">
        <f t="shared" si="66"/>
        <v>0</v>
      </c>
      <c r="BT82" s="48"/>
      <c r="BU82" s="73">
        <f t="shared" si="67"/>
        <v>0</v>
      </c>
      <c r="BW82" s="48"/>
      <c r="BX82" s="73">
        <f t="shared" si="68"/>
        <v>0</v>
      </c>
      <c r="BZ82" s="48"/>
      <c r="CA82" s="73">
        <f t="shared" si="69"/>
        <v>0</v>
      </c>
    </row>
    <row r="83" spans="1:79" thickBot="1">
      <c r="A83" s="24">
        <v>77</v>
      </c>
      <c r="B83" s="39"/>
      <c r="C83" s="40"/>
      <c r="D83" s="56"/>
      <c r="E83" s="70">
        <f t="shared" si="55"/>
        <v>0</v>
      </c>
      <c r="F83" s="70">
        <f t="shared" si="56"/>
        <v>0</v>
      </c>
      <c r="G83" s="71">
        <f t="shared" si="57"/>
        <v>0</v>
      </c>
      <c r="H83" s="71">
        <f t="shared" si="58"/>
        <v>0</v>
      </c>
      <c r="I83" s="72">
        <f t="shared" si="53"/>
        <v>0</v>
      </c>
      <c r="J83" s="150"/>
      <c r="K83" s="48"/>
      <c r="L83" s="73">
        <f t="shared" si="35"/>
        <v>0</v>
      </c>
      <c r="M83" s="48"/>
      <c r="N83" s="73">
        <f t="shared" si="36"/>
        <v>0</v>
      </c>
      <c r="P83" s="48"/>
      <c r="Q83" s="73">
        <f t="shared" si="37"/>
        <v>0</v>
      </c>
      <c r="R83" s="48"/>
      <c r="S83" s="73">
        <f t="shared" si="38"/>
        <v>0</v>
      </c>
      <c r="T83" s="48"/>
      <c r="U83" s="73">
        <f t="shared" si="39"/>
        <v>0</v>
      </c>
      <c r="V83" s="48"/>
      <c r="W83" s="73">
        <f t="shared" si="40"/>
        <v>0</v>
      </c>
      <c r="Y83" s="48"/>
      <c r="Z83" s="73">
        <f t="shared" si="41"/>
        <v>0</v>
      </c>
      <c r="AA83" s="48"/>
      <c r="AB83" s="73">
        <f t="shared" si="42"/>
        <v>0</v>
      </c>
      <c r="AC83" s="48"/>
      <c r="AD83" s="73">
        <f t="shared" si="43"/>
        <v>0</v>
      </c>
      <c r="AE83" s="48"/>
      <c r="AF83" s="73">
        <f t="shared" si="44"/>
        <v>0</v>
      </c>
      <c r="AG83" s="2"/>
      <c r="AH83" s="48"/>
      <c r="AI83" s="73">
        <f t="shared" si="45"/>
        <v>0</v>
      </c>
      <c r="AJ83" s="48"/>
      <c r="AK83" s="73">
        <f t="shared" si="46"/>
        <v>0</v>
      </c>
      <c r="AL83" s="48"/>
      <c r="AM83" s="73">
        <f t="shared" si="47"/>
        <v>0</v>
      </c>
      <c r="AN83" s="48"/>
      <c r="AO83" s="73">
        <f t="shared" si="48"/>
        <v>0</v>
      </c>
      <c r="AP83" s="2"/>
      <c r="AQ83" s="48"/>
      <c r="AR83" s="73">
        <f t="shared" si="49"/>
        <v>0</v>
      </c>
      <c r="AS83" s="48"/>
      <c r="AT83" s="73">
        <f t="shared" si="50"/>
        <v>0</v>
      </c>
      <c r="AU83" s="48"/>
      <c r="AV83" s="73">
        <f t="shared" si="51"/>
        <v>0</v>
      </c>
      <c r="AW83" s="48"/>
      <c r="AX83" s="73">
        <f t="shared" si="52"/>
        <v>0</v>
      </c>
      <c r="AZ83" s="48"/>
      <c r="BA83" s="73">
        <f t="shared" si="59"/>
        <v>0</v>
      </c>
      <c r="BB83" s="48"/>
      <c r="BC83" s="73">
        <f t="shared" si="60"/>
        <v>0</v>
      </c>
      <c r="BD83" s="48"/>
      <c r="BE83" s="73">
        <f t="shared" si="61"/>
        <v>0</v>
      </c>
      <c r="BF83" s="48"/>
      <c r="BG83" s="73">
        <f t="shared" si="62"/>
        <v>0</v>
      </c>
      <c r="BI83" s="48"/>
      <c r="BJ83" s="73">
        <f t="shared" si="54"/>
        <v>0</v>
      </c>
      <c r="BK83" s="48"/>
      <c r="BL83" s="73">
        <f t="shared" si="70"/>
        <v>0</v>
      </c>
      <c r="BM83" s="48"/>
      <c r="BN83" s="73">
        <f t="shared" si="64"/>
        <v>0</v>
      </c>
      <c r="BO83" s="48"/>
      <c r="BP83" s="73">
        <f t="shared" si="65"/>
        <v>0</v>
      </c>
      <c r="BR83" s="48"/>
      <c r="BS83" s="73">
        <f t="shared" si="66"/>
        <v>0</v>
      </c>
      <c r="BT83" s="48"/>
      <c r="BU83" s="73">
        <f t="shared" si="67"/>
        <v>0</v>
      </c>
      <c r="BW83" s="48"/>
      <c r="BX83" s="73">
        <f t="shared" si="68"/>
        <v>0</v>
      </c>
      <c r="BZ83" s="48"/>
      <c r="CA83" s="73">
        <f t="shared" si="69"/>
        <v>0</v>
      </c>
    </row>
    <row r="84" spans="1:79" thickBot="1">
      <c r="A84" s="21">
        <v>78</v>
      </c>
      <c r="B84" s="39"/>
      <c r="C84" s="40"/>
      <c r="D84" s="56"/>
      <c r="E84" s="70">
        <f t="shared" si="55"/>
        <v>0</v>
      </c>
      <c r="F84" s="70">
        <f t="shared" si="56"/>
        <v>0</v>
      </c>
      <c r="G84" s="71">
        <f t="shared" si="57"/>
        <v>0</v>
      </c>
      <c r="H84" s="71">
        <f t="shared" si="58"/>
        <v>0</v>
      </c>
      <c r="I84" s="72">
        <f t="shared" si="53"/>
        <v>0</v>
      </c>
      <c r="J84" s="150"/>
      <c r="K84" s="48"/>
      <c r="L84" s="73">
        <f t="shared" si="35"/>
        <v>0</v>
      </c>
      <c r="M84" s="48"/>
      <c r="N84" s="73">
        <f t="shared" si="36"/>
        <v>0</v>
      </c>
      <c r="P84" s="48"/>
      <c r="Q84" s="73">
        <f t="shared" si="37"/>
        <v>0</v>
      </c>
      <c r="R84" s="48"/>
      <c r="S84" s="73">
        <f t="shared" si="38"/>
        <v>0</v>
      </c>
      <c r="T84" s="48"/>
      <c r="U84" s="73">
        <f t="shared" si="39"/>
        <v>0</v>
      </c>
      <c r="V84" s="48"/>
      <c r="W84" s="73">
        <f t="shared" si="40"/>
        <v>0</v>
      </c>
      <c r="Y84" s="48"/>
      <c r="Z84" s="73">
        <f t="shared" si="41"/>
        <v>0</v>
      </c>
      <c r="AA84" s="48"/>
      <c r="AB84" s="73">
        <f t="shared" si="42"/>
        <v>0</v>
      </c>
      <c r="AC84" s="48"/>
      <c r="AD84" s="73">
        <f t="shared" si="43"/>
        <v>0</v>
      </c>
      <c r="AE84" s="48"/>
      <c r="AF84" s="73">
        <f t="shared" si="44"/>
        <v>0</v>
      </c>
      <c r="AG84" s="2"/>
      <c r="AH84" s="48"/>
      <c r="AI84" s="73">
        <f t="shared" si="45"/>
        <v>0</v>
      </c>
      <c r="AJ84" s="48"/>
      <c r="AK84" s="73">
        <f t="shared" si="46"/>
        <v>0</v>
      </c>
      <c r="AL84" s="48"/>
      <c r="AM84" s="73">
        <f t="shared" si="47"/>
        <v>0</v>
      </c>
      <c r="AN84" s="48"/>
      <c r="AO84" s="73">
        <f t="shared" si="48"/>
        <v>0</v>
      </c>
      <c r="AP84" s="2"/>
      <c r="AQ84" s="48"/>
      <c r="AR84" s="73">
        <f t="shared" si="49"/>
        <v>0</v>
      </c>
      <c r="AS84" s="48"/>
      <c r="AT84" s="73">
        <f t="shared" si="50"/>
        <v>0</v>
      </c>
      <c r="AU84" s="48"/>
      <c r="AV84" s="73">
        <f t="shared" si="51"/>
        <v>0</v>
      </c>
      <c r="AW84" s="48"/>
      <c r="AX84" s="73">
        <f t="shared" si="52"/>
        <v>0</v>
      </c>
      <c r="AZ84" s="48"/>
      <c r="BA84" s="73">
        <f t="shared" si="59"/>
        <v>0</v>
      </c>
      <c r="BB84" s="48"/>
      <c r="BC84" s="73">
        <f t="shared" si="60"/>
        <v>0</v>
      </c>
      <c r="BD84" s="48"/>
      <c r="BE84" s="73">
        <f t="shared" si="61"/>
        <v>0</v>
      </c>
      <c r="BF84" s="48"/>
      <c r="BG84" s="73">
        <f t="shared" si="62"/>
        <v>0</v>
      </c>
      <c r="BI84" s="48"/>
      <c r="BJ84" s="73">
        <f t="shared" si="54"/>
        <v>0</v>
      </c>
      <c r="BK84" s="48"/>
      <c r="BL84" s="73">
        <f t="shared" si="70"/>
        <v>0</v>
      </c>
      <c r="BM84" s="48"/>
      <c r="BN84" s="73">
        <f t="shared" si="64"/>
        <v>0</v>
      </c>
      <c r="BO84" s="48"/>
      <c r="BP84" s="73">
        <f t="shared" si="65"/>
        <v>0</v>
      </c>
      <c r="BR84" s="48"/>
      <c r="BS84" s="73">
        <f t="shared" si="66"/>
        <v>0</v>
      </c>
      <c r="BT84" s="48"/>
      <c r="BU84" s="73">
        <f t="shared" si="67"/>
        <v>0</v>
      </c>
      <c r="BW84" s="48"/>
      <c r="BX84" s="73">
        <f t="shared" si="68"/>
        <v>0</v>
      </c>
      <c r="BZ84" s="48"/>
      <c r="CA84" s="73">
        <f t="shared" si="69"/>
        <v>0</v>
      </c>
    </row>
    <row r="85" spans="1:79" thickBot="1">
      <c r="A85" s="24">
        <v>79</v>
      </c>
      <c r="B85" s="39"/>
      <c r="C85" s="40"/>
      <c r="D85" s="56"/>
      <c r="E85" s="70">
        <f t="shared" si="55"/>
        <v>0</v>
      </c>
      <c r="F85" s="70">
        <f t="shared" si="56"/>
        <v>0</v>
      </c>
      <c r="G85" s="71">
        <f t="shared" si="57"/>
        <v>0</v>
      </c>
      <c r="H85" s="71">
        <f t="shared" si="58"/>
        <v>0</v>
      </c>
      <c r="I85" s="72">
        <f t="shared" si="53"/>
        <v>0</v>
      </c>
      <c r="J85" s="150"/>
      <c r="K85" s="48"/>
      <c r="L85" s="73">
        <f t="shared" si="35"/>
        <v>0</v>
      </c>
      <c r="M85" s="48"/>
      <c r="N85" s="73">
        <f t="shared" si="36"/>
        <v>0</v>
      </c>
      <c r="P85" s="48"/>
      <c r="Q85" s="73">
        <f t="shared" si="37"/>
        <v>0</v>
      </c>
      <c r="R85" s="48"/>
      <c r="S85" s="73">
        <f t="shared" si="38"/>
        <v>0</v>
      </c>
      <c r="T85" s="48"/>
      <c r="U85" s="73">
        <f t="shared" si="39"/>
        <v>0</v>
      </c>
      <c r="V85" s="48"/>
      <c r="W85" s="73">
        <f t="shared" si="40"/>
        <v>0</v>
      </c>
      <c r="Y85" s="48"/>
      <c r="Z85" s="73">
        <f t="shared" si="41"/>
        <v>0</v>
      </c>
      <c r="AA85" s="48"/>
      <c r="AB85" s="73">
        <f t="shared" si="42"/>
        <v>0</v>
      </c>
      <c r="AC85" s="48"/>
      <c r="AD85" s="73">
        <f t="shared" si="43"/>
        <v>0</v>
      </c>
      <c r="AE85" s="48"/>
      <c r="AF85" s="73">
        <f t="shared" si="44"/>
        <v>0</v>
      </c>
      <c r="AG85" s="2"/>
      <c r="AH85" s="48"/>
      <c r="AI85" s="73">
        <f t="shared" si="45"/>
        <v>0</v>
      </c>
      <c r="AJ85" s="48"/>
      <c r="AK85" s="73">
        <f t="shared" si="46"/>
        <v>0</v>
      </c>
      <c r="AL85" s="48"/>
      <c r="AM85" s="73">
        <f t="shared" si="47"/>
        <v>0</v>
      </c>
      <c r="AN85" s="48"/>
      <c r="AO85" s="73">
        <f t="shared" si="48"/>
        <v>0</v>
      </c>
      <c r="AP85" s="2"/>
      <c r="AQ85" s="48"/>
      <c r="AR85" s="73">
        <f t="shared" si="49"/>
        <v>0</v>
      </c>
      <c r="AS85" s="48"/>
      <c r="AT85" s="73">
        <f t="shared" si="50"/>
        <v>0</v>
      </c>
      <c r="AU85" s="48"/>
      <c r="AV85" s="73">
        <f t="shared" si="51"/>
        <v>0</v>
      </c>
      <c r="AW85" s="48"/>
      <c r="AX85" s="73">
        <f t="shared" si="52"/>
        <v>0</v>
      </c>
      <c r="AZ85" s="48"/>
      <c r="BA85" s="73">
        <f t="shared" si="59"/>
        <v>0</v>
      </c>
      <c r="BB85" s="48"/>
      <c r="BC85" s="73">
        <f t="shared" si="60"/>
        <v>0</v>
      </c>
      <c r="BD85" s="48"/>
      <c r="BE85" s="73">
        <f t="shared" si="61"/>
        <v>0</v>
      </c>
      <c r="BF85" s="48"/>
      <c r="BG85" s="73">
        <f t="shared" si="62"/>
        <v>0</v>
      </c>
      <c r="BI85" s="48"/>
      <c r="BJ85" s="73">
        <f t="shared" si="54"/>
        <v>0</v>
      </c>
      <c r="BK85" s="48"/>
      <c r="BL85" s="73">
        <f t="shared" si="70"/>
        <v>0</v>
      </c>
      <c r="BM85" s="48"/>
      <c r="BN85" s="73">
        <f t="shared" si="64"/>
        <v>0</v>
      </c>
      <c r="BO85" s="48"/>
      <c r="BP85" s="73">
        <f t="shared" si="65"/>
        <v>0</v>
      </c>
      <c r="BR85" s="48"/>
      <c r="BS85" s="73">
        <f t="shared" si="66"/>
        <v>0</v>
      </c>
      <c r="BT85" s="48"/>
      <c r="BU85" s="73">
        <f t="shared" si="67"/>
        <v>0</v>
      </c>
      <c r="BW85" s="48"/>
      <c r="BX85" s="73">
        <f t="shared" si="68"/>
        <v>0</v>
      </c>
      <c r="BZ85" s="48"/>
      <c r="CA85" s="73">
        <f t="shared" si="69"/>
        <v>0</v>
      </c>
    </row>
    <row r="86" spans="1:79" thickBot="1">
      <c r="A86" s="21">
        <v>80</v>
      </c>
      <c r="B86" s="39"/>
      <c r="C86" s="40"/>
      <c r="D86" s="56"/>
      <c r="E86" s="70">
        <f t="shared" si="55"/>
        <v>0</v>
      </c>
      <c r="F86" s="70">
        <f t="shared" si="56"/>
        <v>0</v>
      </c>
      <c r="G86" s="71">
        <f t="shared" si="57"/>
        <v>0</v>
      </c>
      <c r="H86" s="71">
        <f t="shared" si="58"/>
        <v>0</v>
      </c>
      <c r="I86" s="72">
        <f t="shared" si="53"/>
        <v>0</v>
      </c>
      <c r="J86" s="150"/>
      <c r="K86" s="48"/>
      <c r="L86" s="73">
        <f t="shared" si="35"/>
        <v>0</v>
      </c>
      <c r="M86" s="48"/>
      <c r="N86" s="73">
        <f t="shared" si="36"/>
        <v>0</v>
      </c>
      <c r="P86" s="48"/>
      <c r="Q86" s="73">
        <f t="shared" si="37"/>
        <v>0</v>
      </c>
      <c r="R86" s="48"/>
      <c r="S86" s="73">
        <f t="shared" si="38"/>
        <v>0</v>
      </c>
      <c r="T86" s="48"/>
      <c r="U86" s="73">
        <f t="shared" si="39"/>
        <v>0</v>
      </c>
      <c r="V86" s="48"/>
      <c r="W86" s="73">
        <f t="shared" si="40"/>
        <v>0</v>
      </c>
      <c r="Y86" s="48"/>
      <c r="Z86" s="73">
        <f t="shared" si="41"/>
        <v>0</v>
      </c>
      <c r="AA86" s="48"/>
      <c r="AB86" s="73">
        <f t="shared" si="42"/>
        <v>0</v>
      </c>
      <c r="AC86" s="48"/>
      <c r="AD86" s="73">
        <f t="shared" si="43"/>
        <v>0</v>
      </c>
      <c r="AE86" s="48"/>
      <c r="AF86" s="73">
        <f t="shared" si="44"/>
        <v>0</v>
      </c>
      <c r="AG86" s="2"/>
      <c r="AH86" s="48"/>
      <c r="AI86" s="73">
        <f t="shared" si="45"/>
        <v>0</v>
      </c>
      <c r="AJ86" s="48"/>
      <c r="AK86" s="73">
        <f t="shared" si="46"/>
        <v>0</v>
      </c>
      <c r="AL86" s="48"/>
      <c r="AM86" s="73">
        <f t="shared" si="47"/>
        <v>0</v>
      </c>
      <c r="AN86" s="48"/>
      <c r="AO86" s="73">
        <f t="shared" si="48"/>
        <v>0</v>
      </c>
      <c r="AP86" s="2"/>
      <c r="AQ86" s="48"/>
      <c r="AR86" s="73">
        <f t="shared" si="49"/>
        <v>0</v>
      </c>
      <c r="AS86" s="48"/>
      <c r="AT86" s="73">
        <f t="shared" si="50"/>
        <v>0</v>
      </c>
      <c r="AU86" s="48"/>
      <c r="AV86" s="73">
        <f t="shared" si="51"/>
        <v>0</v>
      </c>
      <c r="AW86" s="48"/>
      <c r="AX86" s="73">
        <f t="shared" si="52"/>
        <v>0</v>
      </c>
      <c r="AZ86" s="48"/>
      <c r="BA86" s="73">
        <f t="shared" si="59"/>
        <v>0</v>
      </c>
      <c r="BB86" s="48"/>
      <c r="BC86" s="73">
        <f t="shared" si="60"/>
        <v>0</v>
      </c>
      <c r="BD86" s="48"/>
      <c r="BE86" s="73">
        <f t="shared" si="61"/>
        <v>0</v>
      </c>
      <c r="BF86" s="48"/>
      <c r="BG86" s="73">
        <f t="shared" si="62"/>
        <v>0</v>
      </c>
      <c r="BI86" s="48"/>
      <c r="BJ86" s="73">
        <f t="shared" si="54"/>
        <v>0</v>
      </c>
      <c r="BK86" s="48"/>
      <c r="BL86" s="73">
        <f t="shared" si="70"/>
        <v>0</v>
      </c>
      <c r="BM86" s="48"/>
      <c r="BN86" s="73">
        <f t="shared" si="64"/>
        <v>0</v>
      </c>
      <c r="BO86" s="48"/>
      <c r="BP86" s="73">
        <f t="shared" si="65"/>
        <v>0</v>
      </c>
      <c r="BR86" s="48"/>
      <c r="BS86" s="73">
        <f t="shared" si="66"/>
        <v>0</v>
      </c>
      <c r="BT86" s="48"/>
      <c r="BU86" s="73">
        <f t="shared" si="67"/>
        <v>0</v>
      </c>
      <c r="BW86" s="48"/>
      <c r="BX86" s="73">
        <f t="shared" si="68"/>
        <v>0</v>
      </c>
      <c r="BZ86" s="48"/>
      <c r="CA86" s="73">
        <f>_xlfn.LET(
    _xlpm.FinalScore, TRIM(SUBSTITUTE($AW$6," ","")),
    _xlpm.UserGuess, TRIM(SUBSTITUTE(BZ86,"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BZ86=""),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</row>
    <row r="87" spans="1:79" thickBot="1">
      <c r="A87" s="24">
        <v>81</v>
      </c>
      <c r="B87" s="39"/>
      <c r="C87" s="40"/>
      <c r="D87" s="56"/>
      <c r="E87" s="70">
        <f t="shared" si="55"/>
        <v>0</v>
      </c>
      <c r="F87" s="70">
        <f t="shared" si="56"/>
        <v>0</v>
      </c>
      <c r="G87" s="71">
        <f t="shared" si="57"/>
        <v>0</v>
      </c>
      <c r="H87" s="71">
        <f t="shared" si="58"/>
        <v>0</v>
      </c>
      <c r="I87" s="72">
        <f t="shared" si="53"/>
        <v>0</v>
      </c>
      <c r="J87" s="150"/>
      <c r="K87" s="48"/>
      <c r="L87" s="73">
        <f t="shared" si="35"/>
        <v>0</v>
      </c>
      <c r="M87" s="48"/>
      <c r="N87" s="73">
        <f t="shared" si="36"/>
        <v>0</v>
      </c>
      <c r="P87" s="48"/>
      <c r="Q87" s="73">
        <f t="shared" si="37"/>
        <v>0</v>
      </c>
      <c r="R87" s="48"/>
      <c r="S87" s="73">
        <f t="shared" si="38"/>
        <v>0</v>
      </c>
      <c r="T87" s="48"/>
      <c r="U87" s="73">
        <f t="shared" si="39"/>
        <v>0</v>
      </c>
      <c r="V87" s="48"/>
      <c r="W87" s="73">
        <f t="shared" si="40"/>
        <v>0</v>
      </c>
      <c r="Y87" s="48"/>
      <c r="Z87" s="73">
        <f t="shared" si="41"/>
        <v>0</v>
      </c>
      <c r="AA87" s="48"/>
      <c r="AB87" s="73">
        <f t="shared" si="42"/>
        <v>0</v>
      </c>
      <c r="AC87" s="48"/>
      <c r="AD87" s="73">
        <f t="shared" si="43"/>
        <v>0</v>
      </c>
      <c r="AE87" s="48"/>
      <c r="AF87" s="73">
        <f t="shared" si="44"/>
        <v>0</v>
      </c>
      <c r="AG87" s="2"/>
      <c r="AH87" s="48"/>
      <c r="AI87" s="73">
        <f t="shared" si="45"/>
        <v>0</v>
      </c>
      <c r="AJ87" s="48"/>
      <c r="AK87" s="73">
        <f t="shared" si="46"/>
        <v>0</v>
      </c>
      <c r="AL87" s="48"/>
      <c r="AM87" s="73">
        <f t="shared" si="47"/>
        <v>0</v>
      </c>
      <c r="AN87" s="48"/>
      <c r="AO87" s="73">
        <f t="shared" si="48"/>
        <v>0</v>
      </c>
      <c r="AP87" s="2"/>
      <c r="AQ87" s="48"/>
      <c r="AR87" s="73">
        <f t="shared" si="49"/>
        <v>0</v>
      </c>
      <c r="AS87" s="48"/>
      <c r="AT87" s="73">
        <f t="shared" si="50"/>
        <v>0</v>
      </c>
      <c r="AU87" s="48"/>
      <c r="AV87" s="73">
        <f t="shared" si="51"/>
        <v>0</v>
      </c>
      <c r="AW87" s="48"/>
      <c r="AX87" s="73">
        <f t="shared" si="52"/>
        <v>0</v>
      </c>
      <c r="AZ87" s="48"/>
      <c r="BA87" s="73">
        <f t="shared" si="59"/>
        <v>0</v>
      </c>
      <c r="BB87" s="48"/>
      <c r="BC87" s="73">
        <f t="shared" si="60"/>
        <v>0</v>
      </c>
      <c r="BD87" s="48"/>
      <c r="BE87" s="73">
        <f t="shared" si="61"/>
        <v>0</v>
      </c>
      <c r="BF87" s="48"/>
      <c r="BG87" s="73">
        <f t="shared" si="62"/>
        <v>0</v>
      </c>
      <c r="BI87" s="48"/>
      <c r="BJ87" s="73">
        <f t="shared" si="54"/>
        <v>0</v>
      </c>
      <c r="BK87" s="48"/>
      <c r="BL87" s="73">
        <f t="shared" si="70"/>
        <v>0</v>
      </c>
      <c r="BM87" s="48"/>
      <c r="BN87" s="73">
        <f t="shared" si="64"/>
        <v>0</v>
      </c>
      <c r="BO87" s="48"/>
      <c r="BP87" s="73">
        <f t="shared" si="65"/>
        <v>0</v>
      </c>
      <c r="BR87" s="48"/>
      <c r="BS87" s="73">
        <f t="shared" si="66"/>
        <v>0</v>
      </c>
      <c r="BT87" s="48"/>
      <c r="BU87" s="73">
        <f t="shared" si="67"/>
        <v>0</v>
      </c>
      <c r="BW87" s="48"/>
      <c r="BX87" s="73">
        <f t="shared" si="68"/>
        <v>0</v>
      </c>
      <c r="BZ87" s="48"/>
      <c r="CA87" s="73">
        <f t="shared" ref="CA87:CA107" si="71">_xlfn.LET(
    _xlpm.FinalScore, TRIM(SUBSTITUTE($AW$6," ","")),
    _xlpm.UserGuess, TRIM(SUBSTITUTE(BZ87," ","")),
    _xlpm.FinalHome, VALUE(LEFT(_xlpm.FinalScore, FIND(":", _xlpm.FinalScore)-1)),
    _xlpm.FinalAway, VALUE(MID(_xlpm.FinalScore, FIND(":", _xlpm.FinalScore)+1, LEN(_xlpm.FinalScore))),
    _xlpm.GuessHome, VALUE(LEFT(_xlpm.UserGuess, FIND(":", _xlpm.UserGuess)-1)),
    _xlpm.GuessAway, VALUE(MID(_xlpm.UserGuess, FIND(":", _xlpm.UserGuess)+1, LEN(_xlpm.UserGuess))),
    _xlpm.FinalDiff, _xlpm.FinalHome - _xlpm.FinalAway,
    _xlpm.GuessDiff, _xlpm.GuessHome - _xlpm.GuessAway,
    IF(
        OR($AW$6="", BZ87=""),
        0 +N("If final or guess is missing, 0 points"),
        IF(
            AND(_xlpm.FinalHome=_xlpm.GuessHome, _xlpm.FinalAway=_xlpm.GuessAway),
            5 +N("Exact score guessed, 5 points"),
            IF(
                AND(
                    SIGN(_xlpm.FinalDiff) = SIGN(_xlpm.GuessDiff),
                    OR(_xlpm.FinalHome=_xlpm.GuessHome, _xlpm.FinalAway=_xlpm.GuessAway)
                ),
                3 +N("Winner and one side score guessed, 3 points"),
                IF(
                    SIGN(_xlpm.FinalDiff) = SIGN(_xlpm.GuessDiff),
                    2 +N("Only winner guessed, 2 point"),
                    0 +N("Wrong guess, 0 points")
                )
            )
        )
    )
)</f>
        <v>0</v>
      </c>
    </row>
    <row r="88" spans="1:79" thickBot="1">
      <c r="A88" s="21">
        <v>82</v>
      </c>
      <c r="B88" s="39"/>
      <c r="C88" s="40"/>
      <c r="D88" s="56"/>
      <c r="E88" s="70">
        <f t="shared" si="55"/>
        <v>0</v>
      </c>
      <c r="F88" s="70">
        <f t="shared" si="56"/>
        <v>0</v>
      </c>
      <c r="G88" s="71">
        <f t="shared" si="57"/>
        <v>0</v>
      </c>
      <c r="H88" s="71">
        <f t="shared" si="58"/>
        <v>0</v>
      </c>
      <c r="I88" s="72">
        <f t="shared" si="53"/>
        <v>0</v>
      </c>
      <c r="J88" s="150"/>
      <c r="K88" s="48"/>
      <c r="L88" s="73">
        <f t="shared" si="35"/>
        <v>0</v>
      </c>
      <c r="M88" s="48"/>
      <c r="N88" s="73">
        <f t="shared" si="36"/>
        <v>0</v>
      </c>
      <c r="P88" s="48"/>
      <c r="Q88" s="73">
        <f t="shared" si="37"/>
        <v>0</v>
      </c>
      <c r="R88" s="48"/>
      <c r="S88" s="73">
        <f t="shared" si="38"/>
        <v>0</v>
      </c>
      <c r="T88" s="48"/>
      <c r="U88" s="73">
        <f t="shared" si="39"/>
        <v>0</v>
      </c>
      <c r="V88" s="48"/>
      <c r="W88" s="73">
        <f t="shared" si="40"/>
        <v>0</v>
      </c>
      <c r="Y88" s="48"/>
      <c r="Z88" s="73">
        <f t="shared" si="41"/>
        <v>0</v>
      </c>
      <c r="AA88" s="48"/>
      <c r="AB88" s="73">
        <f t="shared" si="42"/>
        <v>0</v>
      </c>
      <c r="AC88" s="48"/>
      <c r="AD88" s="73">
        <f t="shared" si="43"/>
        <v>0</v>
      </c>
      <c r="AE88" s="48"/>
      <c r="AF88" s="73">
        <f t="shared" si="44"/>
        <v>0</v>
      </c>
      <c r="AG88" s="2"/>
      <c r="AH88" s="48"/>
      <c r="AI88" s="73">
        <f t="shared" si="45"/>
        <v>0</v>
      </c>
      <c r="AJ88" s="48"/>
      <c r="AK88" s="73">
        <f t="shared" si="46"/>
        <v>0</v>
      </c>
      <c r="AL88" s="48"/>
      <c r="AM88" s="73">
        <f t="shared" si="47"/>
        <v>0</v>
      </c>
      <c r="AN88" s="48"/>
      <c r="AO88" s="73">
        <f t="shared" si="48"/>
        <v>0</v>
      </c>
      <c r="AP88" s="2"/>
      <c r="AQ88" s="48"/>
      <c r="AR88" s="73">
        <f t="shared" si="49"/>
        <v>0</v>
      </c>
      <c r="AS88" s="48"/>
      <c r="AT88" s="73">
        <f t="shared" si="50"/>
        <v>0</v>
      </c>
      <c r="AU88" s="48"/>
      <c r="AV88" s="73">
        <f t="shared" si="51"/>
        <v>0</v>
      </c>
      <c r="AW88" s="48"/>
      <c r="AX88" s="73">
        <f t="shared" si="52"/>
        <v>0</v>
      </c>
      <c r="AZ88" s="48"/>
      <c r="BA88" s="73">
        <f t="shared" si="59"/>
        <v>0</v>
      </c>
      <c r="BB88" s="48"/>
      <c r="BC88" s="73">
        <f t="shared" si="60"/>
        <v>0</v>
      </c>
      <c r="BD88" s="48"/>
      <c r="BE88" s="73">
        <f t="shared" si="61"/>
        <v>0</v>
      </c>
      <c r="BF88" s="48"/>
      <c r="BG88" s="73">
        <f t="shared" si="62"/>
        <v>0</v>
      </c>
      <c r="BI88" s="48"/>
      <c r="BJ88" s="73">
        <f t="shared" si="54"/>
        <v>0</v>
      </c>
      <c r="BK88" s="48"/>
      <c r="BL88" s="73">
        <f t="shared" si="70"/>
        <v>0</v>
      </c>
      <c r="BM88" s="48"/>
      <c r="BN88" s="73">
        <f t="shared" si="64"/>
        <v>0</v>
      </c>
      <c r="BO88" s="48"/>
      <c r="BP88" s="73">
        <f t="shared" si="65"/>
        <v>0</v>
      </c>
      <c r="BR88" s="48"/>
      <c r="BS88" s="73">
        <f t="shared" si="66"/>
        <v>0</v>
      </c>
      <c r="BT88" s="48"/>
      <c r="BU88" s="73">
        <f t="shared" si="67"/>
        <v>0</v>
      </c>
      <c r="BW88" s="48"/>
      <c r="BX88" s="73">
        <f t="shared" si="68"/>
        <v>0</v>
      </c>
      <c r="BZ88" s="48"/>
      <c r="CA88" s="73">
        <f t="shared" si="71"/>
        <v>0</v>
      </c>
    </row>
    <row r="89" spans="1:79" thickBot="1">
      <c r="A89" s="24">
        <v>83</v>
      </c>
      <c r="B89" s="39"/>
      <c r="C89" s="40"/>
      <c r="D89" s="56"/>
      <c r="E89" s="70">
        <f t="shared" si="55"/>
        <v>0</v>
      </c>
      <c r="F89" s="70">
        <f t="shared" si="56"/>
        <v>0</v>
      </c>
      <c r="G89" s="71">
        <f t="shared" si="57"/>
        <v>0</v>
      </c>
      <c r="H89" s="71">
        <f t="shared" si="58"/>
        <v>0</v>
      </c>
      <c r="I89" s="72">
        <f t="shared" si="53"/>
        <v>0</v>
      </c>
      <c r="J89" s="150"/>
      <c r="K89" s="48"/>
      <c r="L89" s="73">
        <f t="shared" si="35"/>
        <v>0</v>
      </c>
      <c r="M89" s="48"/>
      <c r="N89" s="73">
        <f t="shared" si="36"/>
        <v>0</v>
      </c>
      <c r="P89" s="48"/>
      <c r="Q89" s="73">
        <f t="shared" si="37"/>
        <v>0</v>
      </c>
      <c r="R89" s="48"/>
      <c r="S89" s="73">
        <f t="shared" si="38"/>
        <v>0</v>
      </c>
      <c r="T89" s="48"/>
      <c r="U89" s="73">
        <f t="shared" si="39"/>
        <v>0</v>
      </c>
      <c r="V89" s="48"/>
      <c r="W89" s="73">
        <f t="shared" si="40"/>
        <v>0</v>
      </c>
      <c r="Y89" s="48"/>
      <c r="Z89" s="73">
        <f t="shared" si="41"/>
        <v>0</v>
      </c>
      <c r="AA89" s="48"/>
      <c r="AB89" s="73">
        <f t="shared" si="42"/>
        <v>0</v>
      </c>
      <c r="AC89" s="48"/>
      <c r="AD89" s="73">
        <f t="shared" si="43"/>
        <v>0</v>
      </c>
      <c r="AE89" s="48"/>
      <c r="AF89" s="73">
        <f t="shared" si="44"/>
        <v>0</v>
      </c>
      <c r="AG89" s="2"/>
      <c r="AH89" s="48"/>
      <c r="AI89" s="73">
        <f t="shared" si="45"/>
        <v>0</v>
      </c>
      <c r="AJ89" s="48"/>
      <c r="AK89" s="73">
        <f t="shared" si="46"/>
        <v>0</v>
      </c>
      <c r="AL89" s="48"/>
      <c r="AM89" s="73">
        <f t="shared" si="47"/>
        <v>0</v>
      </c>
      <c r="AN89" s="48"/>
      <c r="AO89" s="73">
        <f t="shared" si="48"/>
        <v>0</v>
      </c>
      <c r="AP89" s="2"/>
      <c r="AQ89" s="48"/>
      <c r="AR89" s="73">
        <f t="shared" si="49"/>
        <v>0</v>
      </c>
      <c r="AS89" s="48"/>
      <c r="AT89" s="73">
        <f t="shared" si="50"/>
        <v>0</v>
      </c>
      <c r="AU89" s="48"/>
      <c r="AV89" s="73">
        <f t="shared" si="51"/>
        <v>0</v>
      </c>
      <c r="AW89" s="48"/>
      <c r="AX89" s="73">
        <f t="shared" si="52"/>
        <v>0</v>
      </c>
      <c r="AZ89" s="48"/>
      <c r="BA89" s="73">
        <f t="shared" si="59"/>
        <v>0</v>
      </c>
      <c r="BB89" s="48"/>
      <c r="BC89" s="73">
        <f t="shared" si="60"/>
        <v>0</v>
      </c>
      <c r="BD89" s="48"/>
      <c r="BE89" s="73">
        <f t="shared" si="61"/>
        <v>0</v>
      </c>
      <c r="BF89" s="48"/>
      <c r="BG89" s="73">
        <f t="shared" si="62"/>
        <v>0</v>
      </c>
      <c r="BI89" s="48"/>
      <c r="BJ89" s="73">
        <f t="shared" si="54"/>
        <v>0</v>
      </c>
      <c r="BK89" s="48"/>
      <c r="BL89" s="73">
        <f t="shared" si="70"/>
        <v>0</v>
      </c>
      <c r="BM89" s="48"/>
      <c r="BN89" s="73">
        <f t="shared" si="64"/>
        <v>0</v>
      </c>
      <c r="BO89" s="48"/>
      <c r="BP89" s="73">
        <f t="shared" si="65"/>
        <v>0</v>
      </c>
      <c r="BR89" s="48"/>
      <c r="BS89" s="73">
        <f t="shared" si="66"/>
        <v>0</v>
      </c>
      <c r="BT89" s="48"/>
      <c r="BU89" s="73">
        <f t="shared" si="67"/>
        <v>0</v>
      </c>
      <c r="BW89" s="48"/>
      <c r="BX89" s="73">
        <f t="shared" si="68"/>
        <v>0</v>
      </c>
      <c r="BZ89" s="48"/>
      <c r="CA89" s="73">
        <f t="shared" si="71"/>
        <v>0</v>
      </c>
    </row>
    <row r="90" spans="1:79" thickBot="1">
      <c r="A90" s="21">
        <v>84</v>
      </c>
      <c r="B90" s="39"/>
      <c r="C90" s="40"/>
      <c r="D90" s="56"/>
      <c r="E90" s="70">
        <f t="shared" si="55"/>
        <v>0</v>
      </c>
      <c r="F90" s="70">
        <f t="shared" si="56"/>
        <v>0</v>
      </c>
      <c r="G90" s="71">
        <f t="shared" si="57"/>
        <v>0</v>
      </c>
      <c r="H90" s="71">
        <f t="shared" si="58"/>
        <v>0</v>
      </c>
      <c r="I90" s="72">
        <f t="shared" si="53"/>
        <v>0</v>
      </c>
      <c r="J90" s="150"/>
      <c r="K90" s="48"/>
      <c r="L90" s="73">
        <f t="shared" si="35"/>
        <v>0</v>
      </c>
      <c r="M90" s="48"/>
      <c r="N90" s="73">
        <f t="shared" si="36"/>
        <v>0</v>
      </c>
      <c r="P90" s="48"/>
      <c r="Q90" s="73">
        <f t="shared" si="37"/>
        <v>0</v>
      </c>
      <c r="R90" s="48"/>
      <c r="S90" s="73">
        <f t="shared" si="38"/>
        <v>0</v>
      </c>
      <c r="T90" s="48"/>
      <c r="U90" s="73">
        <f t="shared" si="39"/>
        <v>0</v>
      </c>
      <c r="V90" s="48"/>
      <c r="W90" s="73">
        <f t="shared" si="40"/>
        <v>0</v>
      </c>
      <c r="Y90" s="48"/>
      <c r="Z90" s="73">
        <f t="shared" si="41"/>
        <v>0</v>
      </c>
      <c r="AA90" s="48"/>
      <c r="AB90" s="73">
        <f t="shared" si="42"/>
        <v>0</v>
      </c>
      <c r="AC90" s="48"/>
      <c r="AD90" s="73">
        <f t="shared" si="43"/>
        <v>0</v>
      </c>
      <c r="AE90" s="48"/>
      <c r="AF90" s="73">
        <f t="shared" si="44"/>
        <v>0</v>
      </c>
      <c r="AG90" s="2"/>
      <c r="AH90" s="48"/>
      <c r="AI90" s="73">
        <f t="shared" si="45"/>
        <v>0</v>
      </c>
      <c r="AJ90" s="48"/>
      <c r="AK90" s="73">
        <f t="shared" si="46"/>
        <v>0</v>
      </c>
      <c r="AL90" s="48"/>
      <c r="AM90" s="73">
        <f t="shared" si="47"/>
        <v>0</v>
      </c>
      <c r="AN90" s="48"/>
      <c r="AO90" s="73">
        <f t="shared" si="48"/>
        <v>0</v>
      </c>
      <c r="AP90" s="2"/>
      <c r="AQ90" s="48"/>
      <c r="AR90" s="73">
        <f t="shared" si="49"/>
        <v>0</v>
      </c>
      <c r="AS90" s="48"/>
      <c r="AT90" s="73">
        <f t="shared" si="50"/>
        <v>0</v>
      </c>
      <c r="AU90" s="48"/>
      <c r="AV90" s="73">
        <f t="shared" si="51"/>
        <v>0</v>
      </c>
      <c r="AW90" s="48"/>
      <c r="AX90" s="73">
        <f t="shared" si="52"/>
        <v>0</v>
      </c>
      <c r="AZ90" s="48"/>
      <c r="BA90" s="73">
        <f t="shared" si="59"/>
        <v>0</v>
      </c>
      <c r="BB90" s="48"/>
      <c r="BC90" s="73">
        <f t="shared" si="60"/>
        <v>0</v>
      </c>
      <c r="BD90" s="48"/>
      <c r="BE90" s="73">
        <f t="shared" si="61"/>
        <v>0</v>
      </c>
      <c r="BF90" s="48"/>
      <c r="BG90" s="73">
        <f t="shared" si="62"/>
        <v>0</v>
      </c>
      <c r="BI90" s="48"/>
      <c r="BJ90" s="73">
        <f t="shared" si="54"/>
        <v>0</v>
      </c>
      <c r="BK90" s="48"/>
      <c r="BL90" s="73">
        <f t="shared" si="70"/>
        <v>0</v>
      </c>
      <c r="BM90" s="48"/>
      <c r="BN90" s="73">
        <f t="shared" si="64"/>
        <v>0</v>
      </c>
      <c r="BO90" s="48"/>
      <c r="BP90" s="73">
        <f t="shared" si="65"/>
        <v>0</v>
      </c>
      <c r="BR90" s="48"/>
      <c r="BS90" s="73">
        <f t="shared" si="66"/>
        <v>0</v>
      </c>
      <c r="BT90" s="48"/>
      <c r="BU90" s="73">
        <f t="shared" si="67"/>
        <v>0</v>
      </c>
      <c r="BW90" s="48"/>
      <c r="BX90" s="73">
        <f t="shared" si="68"/>
        <v>0</v>
      </c>
      <c r="BZ90" s="48"/>
      <c r="CA90" s="73">
        <f t="shared" si="71"/>
        <v>0</v>
      </c>
    </row>
    <row r="91" spans="1:79" thickBot="1">
      <c r="A91" s="24">
        <v>85</v>
      </c>
      <c r="B91" s="39"/>
      <c r="C91" s="40"/>
      <c r="D91" s="56"/>
      <c r="E91" s="70">
        <f t="shared" si="55"/>
        <v>0</v>
      </c>
      <c r="F91" s="70">
        <f t="shared" si="56"/>
        <v>0</v>
      </c>
      <c r="G91" s="71">
        <f t="shared" si="57"/>
        <v>0</v>
      </c>
      <c r="H91" s="71">
        <f t="shared" si="58"/>
        <v>0</v>
      </c>
      <c r="I91" s="72">
        <f t="shared" si="53"/>
        <v>0</v>
      </c>
      <c r="J91" s="150"/>
      <c r="K91" s="48"/>
      <c r="L91" s="73">
        <f t="shared" si="35"/>
        <v>0</v>
      </c>
      <c r="M91" s="48"/>
      <c r="N91" s="73">
        <f t="shared" si="36"/>
        <v>0</v>
      </c>
      <c r="P91" s="48"/>
      <c r="Q91" s="73">
        <f t="shared" si="37"/>
        <v>0</v>
      </c>
      <c r="R91" s="48"/>
      <c r="S91" s="73">
        <f t="shared" si="38"/>
        <v>0</v>
      </c>
      <c r="T91" s="48"/>
      <c r="U91" s="73">
        <f t="shared" si="39"/>
        <v>0</v>
      </c>
      <c r="V91" s="48"/>
      <c r="W91" s="73">
        <f t="shared" si="40"/>
        <v>0</v>
      </c>
      <c r="Y91" s="48"/>
      <c r="Z91" s="73">
        <f t="shared" si="41"/>
        <v>0</v>
      </c>
      <c r="AA91" s="48"/>
      <c r="AB91" s="73">
        <f t="shared" si="42"/>
        <v>0</v>
      </c>
      <c r="AC91" s="48"/>
      <c r="AD91" s="73">
        <f t="shared" si="43"/>
        <v>0</v>
      </c>
      <c r="AE91" s="48"/>
      <c r="AF91" s="73">
        <f t="shared" si="44"/>
        <v>0</v>
      </c>
      <c r="AG91" s="2"/>
      <c r="AH91" s="48"/>
      <c r="AI91" s="73">
        <f t="shared" si="45"/>
        <v>0</v>
      </c>
      <c r="AJ91" s="48"/>
      <c r="AK91" s="73">
        <f t="shared" si="46"/>
        <v>0</v>
      </c>
      <c r="AL91" s="48"/>
      <c r="AM91" s="73">
        <f t="shared" si="47"/>
        <v>0</v>
      </c>
      <c r="AN91" s="48"/>
      <c r="AO91" s="73">
        <f t="shared" si="48"/>
        <v>0</v>
      </c>
      <c r="AP91" s="2"/>
      <c r="AQ91" s="48"/>
      <c r="AR91" s="73">
        <f t="shared" si="49"/>
        <v>0</v>
      </c>
      <c r="AS91" s="48"/>
      <c r="AT91" s="73">
        <f t="shared" si="50"/>
        <v>0</v>
      </c>
      <c r="AU91" s="48"/>
      <c r="AV91" s="73">
        <f t="shared" si="51"/>
        <v>0</v>
      </c>
      <c r="AW91" s="48"/>
      <c r="AX91" s="73">
        <f t="shared" si="52"/>
        <v>0</v>
      </c>
      <c r="AZ91" s="48"/>
      <c r="BA91" s="73">
        <f t="shared" si="59"/>
        <v>0</v>
      </c>
      <c r="BB91" s="48"/>
      <c r="BC91" s="73">
        <f t="shared" si="60"/>
        <v>0</v>
      </c>
      <c r="BD91" s="48"/>
      <c r="BE91" s="73">
        <f t="shared" si="61"/>
        <v>0</v>
      </c>
      <c r="BF91" s="48"/>
      <c r="BG91" s="73">
        <f t="shared" si="62"/>
        <v>0</v>
      </c>
      <c r="BI91" s="48"/>
      <c r="BJ91" s="73">
        <f t="shared" si="54"/>
        <v>0</v>
      </c>
      <c r="BK91" s="48"/>
      <c r="BL91" s="73">
        <f t="shared" si="70"/>
        <v>0</v>
      </c>
      <c r="BM91" s="48"/>
      <c r="BN91" s="73">
        <f t="shared" si="64"/>
        <v>0</v>
      </c>
      <c r="BO91" s="48"/>
      <c r="BP91" s="73">
        <f t="shared" si="65"/>
        <v>0</v>
      </c>
      <c r="BR91" s="48"/>
      <c r="BS91" s="73">
        <f t="shared" si="66"/>
        <v>0</v>
      </c>
      <c r="BT91" s="48"/>
      <c r="BU91" s="73">
        <f t="shared" si="67"/>
        <v>0</v>
      </c>
      <c r="BW91" s="48"/>
      <c r="BX91" s="73">
        <f t="shared" si="68"/>
        <v>0</v>
      </c>
      <c r="BZ91" s="48"/>
      <c r="CA91" s="73">
        <f t="shared" si="71"/>
        <v>0</v>
      </c>
    </row>
    <row r="92" spans="1:79" thickBot="1">
      <c r="A92" s="21">
        <v>86</v>
      </c>
      <c r="B92" s="39"/>
      <c r="C92" s="40"/>
      <c r="D92" s="56"/>
      <c r="E92" s="70">
        <f t="shared" si="55"/>
        <v>0</v>
      </c>
      <c r="F92" s="70">
        <f t="shared" si="56"/>
        <v>0</v>
      </c>
      <c r="G92" s="71">
        <f t="shared" si="57"/>
        <v>0</v>
      </c>
      <c r="H92" s="71">
        <f t="shared" si="58"/>
        <v>0</v>
      </c>
      <c r="I92" s="72">
        <f t="shared" si="53"/>
        <v>0</v>
      </c>
      <c r="J92" s="150"/>
      <c r="K92" s="48"/>
      <c r="L92" s="73">
        <f t="shared" si="35"/>
        <v>0</v>
      </c>
      <c r="M92" s="48"/>
      <c r="N92" s="73">
        <f t="shared" si="36"/>
        <v>0</v>
      </c>
      <c r="P92" s="48"/>
      <c r="Q92" s="73">
        <f t="shared" si="37"/>
        <v>0</v>
      </c>
      <c r="R92" s="48"/>
      <c r="S92" s="73">
        <f t="shared" si="38"/>
        <v>0</v>
      </c>
      <c r="T92" s="48"/>
      <c r="U92" s="73">
        <f t="shared" si="39"/>
        <v>0</v>
      </c>
      <c r="V92" s="48"/>
      <c r="W92" s="73">
        <f t="shared" si="40"/>
        <v>0</v>
      </c>
      <c r="Y92" s="48"/>
      <c r="Z92" s="73">
        <f t="shared" si="41"/>
        <v>0</v>
      </c>
      <c r="AA92" s="48"/>
      <c r="AB92" s="73">
        <f t="shared" si="42"/>
        <v>0</v>
      </c>
      <c r="AC92" s="48"/>
      <c r="AD92" s="73">
        <f t="shared" si="43"/>
        <v>0</v>
      </c>
      <c r="AE92" s="48"/>
      <c r="AF92" s="73">
        <f t="shared" si="44"/>
        <v>0</v>
      </c>
      <c r="AG92" s="2"/>
      <c r="AH92" s="48"/>
      <c r="AI92" s="73">
        <f t="shared" si="45"/>
        <v>0</v>
      </c>
      <c r="AJ92" s="48"/>
      <c r="AK92" s="73">
        <f t="shared" si="46"/>
        <v>0</v>
      </c>
      <c r="AL92" s="48"/>
      <c r="AM92" s="73">
        <f t="shared" si="47"/>
        <v>0</v>
      </c>
      <c r="AN92" s="48"/>
      <c r="AO92" s="73">
        <f t="shared" si="48"/>
        <v>0</v>
      </c>
      <c r="AP92" s="2"/>
      <c r="AQ92" s="48"/>
      <c r="AR92" s="73">
        <f t="shared" si="49"/>
        <v>0</v>
      </c>
      <c r="AS92" s="48"/>
      <c r="AT92" s="73">
        <f t="shared" si="50"/>
        <v>0</v>
      </c>
      <c r="AU92" s="48"/>
      <c r="AV92" s="73">
        <f t="shared" si="51"/>
        <v>0</v>
      </c>
      <c r="AW92" s="48"/>
      <c r="AX92" s="73">
        <f t="shared" si="52"/>
        <v>0</v>
      </c>
      <c r="AZ92" s="48"/>
      <c r="BA92" s="73">
        <f t="shared" si="59"/>
        <v>0</v>
      </c>
      <c r="BB92" s="48"/>
      <c r="BC92" s="73">
        <f t="shared" si="60"/>
        <v>0</v>
      </c>
      <c r="BD92" s="48"/>
      <c r="BE92" s="73">
        <f t="shared" si="61"/>
        <v>0</v>
      </c>
      <c r="BF92" s="48"/>
      <c r="BG92" s="73">
        <f t="shared" si="62"/>
        <v>0</v>
      </c>
      <c r="BI92" s="48"/>
      <c r="BJ92" s="73">
        <f t="shared" si="54"/>
        <v>0</v>
      </c>
      <c r="BK92" s="48"/>
      <c r="BL92" s="73">
        <f t="shared" si="70"/>
        <v>0</v>
      </c>
      <c r="BM92" s="48"/>
      <c r="BN92" s="73">
        <f t="shared" si="64"/>
        <v>0</v>
      </c>
      <c r="BO92" s="48"/>
      <c r="BP92" s="73">
        <f t="shared" si="65"/>
        <v>0</v>
      </c>
      <c r="BR92" s="48"/>
      <c r="BS92" s="73">
        <f t="shared" si="66"/>
        <v>0</v>
      </c>
      <c r="BT92" s="48"/>
      <c r="BU92" s="73">
        <f t="shared" si="67"/>
        <v>0</v>
      </c>
      <c r="BW92" s="48"/>
      <c r="BX92" s="73">
        <f t="shared" si="68"/>
        <v>0</v>
      </c>
      <c r="BZ92" s="48"/>
      <c r="CA92" s="73">
        <f t="shared" si="71"/>
        <v>0</v>
      </c>
    </row>
    <row r="93" spans="1:79" thickBot="1">
      <c r="A93" s="24">
        <v>87</v>
      </c>
      <c r="B93" s="39"/>
      <c r="C93" s="40"/>
      <c r="D93" s="56"/>
      <c r="E93" s="70">
        <f t="shared" si="55"/>
        <v>0</v>
      </c>
      <c r="F93" s="70">
        <f t="shared" si="56"/>
        <v>0</v>
      </c>
      <c r="G93" s="71">
        <f t="shared" si="57"/>
        <v>0</v>
      </c>
      <c r="H93" s="71">
        <f t="shared" si="58"/>
        <v>0</v>
      </c>
      <c r="I93" s="72">
        <f t="shared" si="53"/>
        <v>0</v>
      </c>
      <c r="J93" s="150"/>
      <c r="K93" s="48"/>
      <c r="L93" s="73">
        <f t="shared" si="35"/>
        <v>0</v>
      </c>
      <c r="M93" s="48"/>
      <c r="N93" s="73">
        <f t="shared" si="36"/>
        <v>0</v>
      </c>
      <c r="P93" s="48"/>
      <c r="Q93" s="73">
        <f t="shared" si="37"/>
        <v>0</v>
      </c>
      <c r="R93" s="48"/>
      <c r="S93" s="73">
        <f t="shared" si="38"/>
        <v>0</v>
      </c>
      <c r="T93" s="48"/>
      <c r="U93" s="73">
        <f t="shared" si="39"/>
        <v>0</v>
      </c>
      <c r="V93" s="48"/>
      <c r="W93" s="73">
        <f t="shared" si="40"/>
        <v>0</v>
      </c>
      <c r="Y93" s="48"/>
      <c r="Z93" s="73">
        <f t="shared" si="41"/>
        <v>0</v>
      </c>
      <c r="AA93" s="48"/>
      <c r="AB93" s="73">
        <f t="shared" si="42"/>
        <v>0</v>
      </c>
      <c r="AC93" s="48"/>
      <c r="AD93" s="73">
        <f t="shared" si="43"/>
        <v>0</v>
      </c>
      <c r="AE93" s="48"/>
      <c r="AF93" s="73">
        <f t="shared" si="44"/>
        <v>0</v>
      </c>
      <c r="AG93" s="2"/>
      <c r="AH93" s="48"/>
      <c r="AI93" s="73">
        <f t="shared" si="45"/>
        <v>0</v>
      </c>
      <c r="AJ93" s="48"/>
      <c r="AK93" s="73">
        <f t="shared" si="46"/>
        <v>0</v>
      </c>
      <c r="AL93" s="48"/>
      <c r="AM93" s="73">
        <f t="shared" si="47"/>
        <v>0</v>
      </c>
      <c r="AN93" s="48"/>
      <c r="AO93" s="73">
        <f t="shared" si="48"/>
        <v>0</v>
      </c>
      <c r="AP93" s="2"/>
      <c r="AQ93" s="48"/>
      <c r="AR93" s="73">
        <f t="shared" si="49"/>
        <v>0</v>
      </c>
      <c r="AS93" s="48"/>
      <c r="AT93" s="73">
        <f t="shared" si="50"/>
        <v>0</v>
      </c>
      <c r="AU93" s="48"/>
      <c r="AV93" s="73">
        <f t="shared" si="51"/>
        <v>0</v>
      </c>
      <c r="AW93" s="48"/>
      <c r="AX93" s="73">
        <f t="shared" si="52"/>
        <v>0</v>
      </c>
      <c r="AZ93" s="48"/>
      <c r="BA93" s="73">
        <f t="shared" si="59"/>
        <v>0</v>
      </c>
      <c r="BB93" s="48"/>
      <c r="BC93" s="73">
        <f t="shared" si="60"/>
        <v>0</v>
      </c>
      <c r="BD93" s="48"/>
      <c r="BE93" s="73">
        <f t="shared" si="61"/>
        <v>0</v>
      </c>
      <c r="BF93" s="48"/>
      <c r="BG93" s="73">
        <f t="shared" si="62"/>
        <v>0</v>
      </c>
      <c r="BI93" s="48"/>
      <c r="BJ93" s="73">
        <f t="shared" si="54"/>
        <v>0</v>
      </c>
      <c r="BK93" s="48"/>
      <c r="BL93" s="73">
        <f t="shared" si="70"/>
        <v>0</v>
      </c>
      <c r="BM93" s="48"/>
      <c r="BN93" s="73">
        <f t="shared" si="64"/>
        <v>0</v>
      </c>
      <c r="BO93" s="48"/>
      <c r="BP93" s="73">
        <f t="shared" si="65"/>
        <v>0</v>
      </c>
      <c r="BR93" s="48"/>
      <c r="BS93" s="73">
        <f t="shared" si="66"/>
        <v>0</v>
      </c>
      <c r="BT93" s="48"/>
      <c r="BU93" s="73">
        <f t="shared" si="67"/>
        <v>0</v>
      </c>
      <c r="BW93" s="48"/>
      <c r="BX93" s="73">
        <f t="shared" si="68"/>
        <v>0</v>
      </c>
      <c r="BZ93" s="48"/>
      <c r="CA93" s="73">
        <f t="shared" si="71"/>
        <v>0</v>
      </c>
    </row>
    <row r="94" spans="1:79" thickBot="1">
      <c r="A94" s="21">
        <v>88</v>
      </c>
      <c r="B94" s="39"/>
      <c r="C94" s="40"/>
      <c r="D94" s="56"/>
      <c r="E94" s="70">
        <f t="shared" si="55"/>
        <v>0</v>
      </c>
      <c r="F94" s="70">
        <f t="shared" si="56"/>
        <v>0</v>
      </c>
      <c r="G94" s="71">
        <f t="shared" si="57"/>
        <v>0</v>
      </c>
      <c r="H94" s="71">
        <f t="shared" si="58"/>
        <v>0</v>
      </c>
      <c r="I94" s="72">
        <f t="shared" si="53"/>
        <v>0</v>
      </c>
      <c r="J94" s="150"/>
      <c r="K94" s="48"/>
      <c r="L94" s="73">
        <f t="shared" si="35"/>
        <v>0</v>
      </c>
      <c r="M94" s="48"/>
      <c r="N94" s="73">
        <f t="shared" si="36"/>
        <v>0</v>
      </c>
      <c r="P94" s="48"/>
      <c r="Q94" s="73">
        <f t="shared" si="37"/>
        <v>0</v>
      </c>
      <c r="R94" s="48"/>
      <c r="S94" s="73">
        <f t="shared" si="38"/>
        <v>0</v>
      </c>
      <c r="T94" s="48"/>
      <c r="U94" s="73">
        <f t="shared" si="39"/>
        <v>0</v>
      </c>
      <c r="V94" s="48"/>
      <c r="W94" s="73">
        <f t="shared" si="40"/>
        <v>0</v>
      </c>
      <c r="Y94" s="48"/>
      <c r="Z94" s="73">
        <f t="shared" si="41"/>
        <v>0</v>
      </c>
      <c r="AA94" s="48"/>
      <c r="AB94" s="73">
        <f t="shared" si="42"/>
        <v>0</v>
      </c>
      <c r="AC94" s="48"/>
      <c r="AD94" s="73">
        <f t="shared" si="43"/>
        <v>0</v>
      </c>
      <c r="AE94" s="48"/>
      <c r="AF94" s="73">
        <f t="shared" si="44"/>
        <v>0</v>
      </c>
      <c r="AG94" s="2"/>
      <c r="AH94" s="48"/>
      <c r="AI94" s="73">
        <f t="shared" si="45"/>
        <v>0</v>
      </c>
      <c r="AJ94" s="48"/>
      <c r="AK94" s="73">
        <f t="shared" si="46"/>
        <v>0</v>
      </c>
      <c r="AL94" s="48"/>
      <c r="AM94" s="73">
        <f t="shared" si="47"/>
        <v>0</v>
      </c>
      <c r="AN94" s="48"/>
      <c r="AO94" s="73">
        <f t="shared" si="48"/>
        <v>0</v>
      </c>
      <c r="AP94" s="2"/>
      <c r="AQ94" s="48"/>
      <c r="AR94" s="73">
        <f t="shared" si="49"/>
        <v>0</v>
      </c>
      <c r="AS94" s="48"/>
      <c r="AT94" s="73">
        <f t="shared" si="50"/>
        <v>0</v>
      </c>
      <c r="AU94" s="48"/>
      <c r="AV94" s="73">
        <f t="shared" si="51"/>
        <v>0</v>
      </c>
      <c r="AW94" s="48"/>
      <c r="AX94" s="73">
        <f t="shared" si="52"/>
        <v>0</v>
      </c>
      <c r="AZ94" s="48"/>
      <c r="BA94" s="73">
        <f t="shared" si="59"/>
        <v>0</v>
      </c>
      <c r="BB94" s="48"/>
      <c r="BC94" s="73">
        <f t="shared" si="60"/>
        <v>0</v>
      </c>
      <c r="BD94" s="48"/>
      <c r="BE94" s="73">
        <f t="shared" si="61"/>
        <v>0</v>
      </c>
      <c r="BF94" s="48"/>
      <c r="BG94" s="73">
        <f t="shared" si="62"/>
        <v>0</v>
      </c>
      <c r="BI94" s="48"/>
      <c r="BJ94" s="73">
        <f t="shared" si="54"/>
        <v>0</v>
      </c>
      <c r="BK94" s="48"/>
      <c r="BL94" s="73">
        <f t="shared" si="70"/>
        <v>0</v>
      </c>
      <c r="BM94" s="48"/>
      <c r="BN94" s="73">
        <f t="shared" si="64"/>
        <v>0</v>
      </c>
      <c r="BO94" s="48"/>
      <c r="BP94" s="73">
        <f t="shared" si="65"/>
        <v>0</v>
      </c>
      <c r="BR94" s="48"/>
      <c r="BS94" s="73">
        <f t="shared" si="66"/>
        <v>0</v>
      </c>
      <c r="BT94" s="48"/>
      <c r="BU94" s="73">
        <f t="shared" si="67"/>
        <v>0</v>
      </c>
      <c r="BW94" s="48"/>
      <c r="BX94" s="73">
        <f t="shared" si="68"/>
        <v>0</v>
      </c>
      <c r="BZ94" s="48"/>
      <c r="CA94" s="73">
        <f t="shared" si="71"/>
        <v>0</v>
      </c>
    </row>
    <row r="95" spans="1:79" thickBot="1">
      <c r="A95" s="24">
        <v>89</v>
      </c>
      <c r="B95" s="39"/>
      <c r="C95" s="40"/>
      <c r="D95" s="56"/>
      <c r="E95" s="70">
        <f t="shared" si="55"/>
        <v>0</v>
      </c>
      <c r="F95" s="70">
        <f t="shared" si="56"/>
        <v>0</v>
      </c>
      <c r="G95" s="71">
        <f t="shared" si="57"/>
        <v>0</v>
      </c>
      <c r="H95" s="71">
        <f t="shared" si="58"/>
        <v>0</v>
      </c>
      <c r="I95" s="72">
        <f t="shared" si="53"/>
        <v>0</v>
      </c>
      <c r="J95" s="150"/>
      <c r="K95" s="48"/>
      <c r="L95" s="73">
        <f t="shared" si="35"/>
        <v>0</v>
      </c>
      <c r="M95" s="48"/>
      <c r="N95" s="73">
        <f t="shared" si="36"/>
        <v>0</v>
      </c>
      <c r="P95" s="48"/>
      <c r="Q95" s="73">
        <f t="shared" si="37"/>
        <v>0</v>
      </c>
      <c r="R95" s="48"/>
      <c r="S95" s="73">
        <f t="shared" si="38"/>
        <v>0</v>
      </c>
      <c r="T95" s="48"/>
      <c r="U95" s="73">
        <f t="shared" si="39"/>
        <v>0</v>
      </c>
      <c r="V95" s="48"/>
      <c r="W95" s="73">
        <f t="shared" si="40"/>
        <v>0</v>
      </c>
      <c r="Y95" s="48"/>
      <c r="Z95" s="73">
        <f t="shared" si="41"/>
        <v>0</v>
      </c>
      <c r="AA95" s="48"/>
      <c r="AB95" s="73">
        <f t="shared" si="42"/>
        <v>0</v>
      </c>
      <c r="AC95" s="48"/>
      <c r="AD95" s="73">
        <f t="shared" si="43"/>
        <v>0</v>
      </c>
      <c r="AE95" s="48"/>
      <c r="AF95" s="73">
        <f t="shared" si="44"/>
        <v>0</v>
      </c>
      <c r="AG95" s="2"/>
      <c r="AH95" s="48"/>
      <c r="AI95" s="73">
        <f t="shared" si="45"/>
        <v>0</v>
      </c>
      <c r="AJ95" s="48"/>
      <c r="AK95" s="73">
        <f t="shared" si="46"/>
        <v>0</v>
      </c>
      <c r="AL95" s="48"/>
      <c r="AM95" s="73">
        <f t="shared" si="47"/>
        <v>0</v>
      </c>
      <c r="AN95" s="48"/>
      <c r="AO95" s="73">
        <f t="shared" si="48"/>
        <v>0</v>
      </c>
      <c r="AP95" s="2"/>
      <c r="AQ95" s="48"/>
      <c r="AR95" s="73">
        <f t="shared" si="49"/>
        <v>0</v>
      </c>
      <c r="AS95" s="48"/>
      <c r="AT95" s="73">
        <f t="shared" si="50"/>
        <v>0</v>
      </c>
      <c r="AU95" s="48"/>
      <c r="AV95" s="73">
        <f t="shared" si="51"/>
        <v>0</v>
      </c>
      <c r="AW95" s="48"/>
      <c r="AX95" s="73">
        <f t="shared" si="52"/>
        <v>0</v>
      </c>
      <c r="AZ95" s="48"/>
      <c r="BA95" s="73">
        <f t="shared" si="59"/>
        <v>0</v>
      </c>
      <c r="BB95" s="48"/>
      <c r="BC95" s="73">
        <f t="shared" si="60"/>
        <v>0</v>
      </c>
      <c r="BD95" s="48"/>
      <c r="BE95" s="73">
        <f t="shared" si="61"/>
        <v>0</v>
      </c>
      <c r="BF95" s="48"/>
      <c r="BG95" s="73">
        <f t="shared" si="62"/>
        <v>0</v>
      </c>
      <c r="BI95" s="48"/>
      <c r="BJ95" s="73">
        <f t="shared" si="54"/>
        <v>0</v>
      </c>
      <c r="BK95" s="48"/>
      <c r="BL95" s="73">
        <f t="shared" si="70"/>
        <v>0</v>
      </c>
      <c r="BM95" s="48"/>
      <c r="BN95" s="73">
        <f t="shared" si="64"/>
        <v>0</v>
      </c>
      <c r="BO95" s="48"/>
      <c r="BP95" s="73">
        <f t="shared" si="65"/>
        <v>0</v>
      </c>
      <c r="BR95" s="48"/>
      <c r="BS95" s="73">
        <f t="shared" si="66"/>
        <v>0</v>
      </c>
      <c r="BT95" s="48"/>
      <c r="BU95" s="73">
        <f t="shared" si="67"/>
        <v>0</v>
      </c>
      <c r="BW95" s="48"/>
      <c r="BX95" s="73">
        <f t="shared" si="68"/>
        <v>0</v>
      </c>
      <c r="BZ95" s="48"/>
      <c r="CA95" s="73">
        <f t="shared" si="71"/>
        <v>0</v>
      </c>
    </row>
    <row r="96" spans="1:79" thickBot="1">
      <c r="A96" s="21">
        <v>90</v>
      </c>
      <c r="B96" s="39"/>
      <c r="C96" s="40"/>
      <c r="D96" s="56"/>
      <c r="E96" s="70">
        <f t="shared" si="55"/>
        <v>0</v>
      </c>
      <c r="F96" s="70">
        <f t="shared" si="56"/>
        <v>0</v>
      </c>
      <c r="G96" s="71">
        <f t="shared" si="57"/>
        <v>0</v>
      </c>
      <c r="H96" s="71">
        <f t="shared" si="58"/>
        <v>0</v>
      </c>
      <c r="I96" s="72">
        <f t="shared" si="53"/>
        <v>0</v>
      </c>
      <c r="J96" s="150"/>
      <c r="K96" s="48"/>
      <c r="L96" s="73">
        <f t="shared" si="35"/>
        <v>0</v>
      </c>
      <c r="M96" s="48"/>
      <c r="N96" s="73">
        <f t="shared" si="36"/>
        <v>0</v>
      </c>
      <c r="P96" s="48"/>
      <c r="Q96" s="73">
        <f t="shared" si="37"/>
        <v>0</v>
      </c>
      <c r="R96" s="48"/>
      <c r="S96" s="73">
        <f t="shared" si="38"/>
        <v>0</v>
      </c>
      <c r="T96" s="48"/>
      <c r="U96" s="73">
        <f t="shared" si="39"/>
        <v>0</v>
      </c>
      <c r="V96" s="48"/>
      <c r="W96" s="73">
        <f t="shared" si="40"/>
        <v>0</v>
      </c>
      <c r="Y96" s="48"/>
      <c r="Z96" s="73">
        <f t="shared" si="41"/>
        <v>0</v>
      </c>
      <c r="AA96" s="48"/>
      <c r="AB96" s="73">
        <f t="shared" si="42"/>
        <v>0</v>
      </c>
      <c r="AC96" s="48"/>
      <c r="AD96" s="73">
        <f t="shared" si="43"/>
        <v>0</v>
      </c>
      <c r="AE96" s="48"/>
      <c r="AF96" s="73">
        <f t="shared" si="44"/>
        <v>0</v>
      </c>
      <c r="AG96" s="2"/>
      <c r="AH96" s="48"/>
      <c r="AI96" s="73">
        <f t="shared" si="45"/>
        <v>0</v>
      </c>
      <c r="AJ96" s="48"/>
      <c r="AK96" s="73">
        <f t="shared" si="46"/>
        <v>0</v>
      </c>
      <c r="AL96" s="48"/>
      <c r="AM96" s="73">
        <f t="shared" si="47"/>
        <v>0</v>
      </c>
      <c r="AN96" s="48"/>
      <c r="AO96" s="73">
        <f t="shared" si="48"/>
        <v>0</v>
      </c>
      <c r="AP96" s="2"/>
      <c r="AQ96" s="48"/>
      <c r="AR96" s="73">
        <f t="shared" si="49"/>
        <v>0</v>
      </c>
      <c r="AS96" s="48"/>
      <c r="AT96" s="73">
        <f t="shared" si="50"/>
        <v>0</v>
      </c>
      <c r="AU96" s="48"/>
      <c r="AV96" s="73">
        <f t="shared" si="51"/>
        <v>0</v>
      </c>
      <c r="AW96" s="48"/>
      <c r="AX96" s="73">
        <f t="shared" si="52"/>
        <v>0</v>
      </c>
      <c r="AZ96" s="48"/>
      <c r="BA96" s="73">
        <f t="shared" si="59"/>
        <v>0</v>
      </c>
      <c r="BB96" s="48"/>
      <c r="BC96" s="73">
        <f t="shared" si="60"/>
        <v>0</v>
      </c>
      <c r="BD96" s="48"/>
      <c r="BE96" s="73">
        <f t="shared" si="61"/>
        <v>0</v>
      </c>
      <c r="BF96" s="48"/>
      <c r="BG96" s="73">
        <f t="shared" si="62"/>
        <v>0</v>
      </c>
      <c r="BI96" s="48"/>
      <c r="BJ96" s="73">
        <f t="shared" si="54"/>
        <v>0</v>
      </c>
      <c r="BK96" s="48"/>
      <c r="BL96" s="73">
        <f t="shared" si="70"/>
        <v>0</v>
      </c>
      <c r="BM96" s="48"/>
      <c r="BN96" s="73">
        <f t="shared" si="64"/>
        <v>0</v>
      </c>
      <c r="BO96" s="48"/>
      <c r="BP96" s="73">
        <f t="shared" si="65"/>
        <v>0</v>
      </c>
      <c r="BR96" s="48"/>
      <c r="BS96" s="73">
        <f t="shared" si="66"/>
        <v>0</v>
      </c>
      <c r="BT96" s="48"/>
      <c r="BU96" s="73">
        <f t="shared" si="67"/>
        <v>0</v>
      </c>
      <c r="BW96" s="48"/>
      <c r="BX96" s="73">
        <f t="shared" si="68"/>
        <v>0</v>
      </c>
      <c r="BZ96" s="48"/>
      <c r="CA96" s="73">
        <f t="shared" si="71"/>
        <v>0</v>
      </c>
    </row>
    <row r="97" spans="1:79" thickBot="1">
      <c r="A97" s="24">
        <v>91</v>
      </c>
      <c r="B97" s="39"/>
      <c r="C97" s="40"/>
      <c r="D97" s="56"/>
      <c r="E97" s="70">
        <f t="shared" si="55"/>
        <v>0</v>
      </c>
      <c r="F97" s="70">
        <f t="shared" si="56"/>
        <v>0</v>
      </c>
      <c r="G97" s="71">
        <f t="shared" si="57"/>
        <v>0</v>
      </c>
      <c r="H97" s="71">
        <f t="shared" si="58"/>
        <v>0</v>
      </c>
      <c r="I97" s="72">
        <f t="shared" si="53"/>
        <v>0</v>
      </c>
      <c r="J97" s="150"/>
      <c r="K97" s="48"/>
      <c r="L97" s="73">
        <f t="shared" si="35"/>
        <v>0</v>
      </c>
      <c r="M97" s="48"/>
      <c r="N97" s="73">
        <f t="shared" si="36"/>
        <v>0</v>
      </c>
      <c r="P97" s="48"/>
      <c r="Q97" s="73">
        <f t="shared" si="37"/>
        <v>0</v>
      </c>
      <c r="R97" s="48"/>
      <c r="S97" s="73">
        <f t="shared" si="38"/>
        <v>0</v>
      </c>
      <c r="T97" s="48"/>
      <c r="U97" s="73">
        <f t="shared" si="39"/>
        <v>0</v>
      </c>
      <c r="V97" s="48"/>
      <c r="W97" s="73">
        <f t="shared" si="40"/>
        <v>0</v>
      </c>
      <c r="Y97" s="48"/>
      <c r="Z97" s="73">
        <f t="shared" si="41"/>
        <v>0</v>
      </c>
      <c r="AA97" s="48"/>
      <c r="AB97" s="73">
        <f t="shared" si="42"/>
        <v>0</v>
      </c>
      <c r="AC97" s="48"/>
      <c r="AD97" s="73">
        <f t="shared" si="43"/>
        <v>0</v>
      </c>
      <c r="AE97" s="48"/>
      <c r="AF97" s="73">
        <f t="shared" si="44"/>
        <v>0</v>
      </c>
      <c r="AG97" s="2"/>
      <c r="AH97" s="48"/>
      <c r="AI97" s="73">
        <f t="shared" si="45"/>
        <v>0</v>
      </c>
      <c r="AJ97" s="48"/>
      <c r="AK97" s="73">
        <f t="shared" si="46"/>
        <v>0</v>
      </c>
      <c r="AL97" s="48"/>
      <c r="AM97" s="73">
        <f t="shared" si="47"/>
        <v>0</v>
      </c>
      <c r="AN97" s="48"/>
      <c r="AO97" s="73">
        <f t="shared" si="48"/>
        <v>0</v>
      </c>
      <c r="AP97" s="2"/>
      <c r="AQ97" s="48"/>
      <c r="AR97" s="73">
        <f t="shared" si="49"/>
        <v>0</v>
      </c>
      <c r="AS97" s="48"/>
      <c r="AT97" s="73">
        <f t="shared" si="50"/>
        <v>0</v>
      </c>
      <c r="AU97" s="48"/>
      <c r="AV97" s="73">
        <f t="shared" si="51"/>
        <v>0</v>
      </c>
      <c r="AW97" s="48"/>
      <c r="AX97" s="73">
        <f t="shared" si="52"/>
        <v>0</v>
      </c>
      <c r="AZ97" s="48"/>
      <c r="BA97" s="73">
        <f t="shared" si="59"/>
        <v>0</v>
      </c>
      <c r="BB97" s="48"/>
      <c r="BC97" s="73">
        <f t="shared" si="60"/>
        <v>0</v>
      </c>
      <c r="BD97" s="48"/>
      <c r="BE97" s="73">
        <f t="shared" si="61"/>
        <v>0</v>
      </c>
      <c r="BF97" s="48"/>
      <c r="BG97" s="73">
        <f t="shared" si="62"/>
        <v>0</v>
      </c>
      <c r="BI97" s="48"/>
      <c r="BJ97" s="73">
        <f t="shared" si="54"/>
        <v>0</v>
      </c>
      <c r="BK97" s="48"/>
      <c r="BL97" s="73">
        <f t="shared" si="70"/>
        <v>0</v>
      </c>
      <c r="BM97" s="48"/>
      <c r="BN97" s="73">
        <f t="shared" si="64"/>
        <v>0</v>
      </c>
      <c r="BO97" s="48"/>
      <c r="BP97" s="73">
        <f t="shared" si="65"/>
        <v>0</v>
      </c>
      <c r="BR97" s="48"/>
      <c r="BS97" s="73">
        <f t="shared" si="66"/>
        <v>0</v>
      </c>
      <c r="BT97" s="48"/>
      <c r="BU97" s="73">
        <f t="shared" si="67"/>
        <v>0</v>
      </c>
      <c r="BW97" s="48"/>
      <c r="BX97" s="73">
        <f t="shared" si="68"/>
        <v>0</v>
      </c>
      <c r="BZ97" s="48"/>
      <c r="CA97" s="73">
        <f t="shared" si="71"/>
        <v>0</v>
      </c>
    </row>
    <row r="98" spans="1:79" thickBot="1">
      <c r="A98" s="21">
        <v>92</v>
      </c>
      <c r="B98" s="39"/>
      <c r="C98" s="40"/>
      <c r="D98" s="56"/>
      <c r="E98" s="70">
        <f t="shared" si="55"/>
        <v>0</v>
      </c>
      <c r="F98" s="70">
        <f t="shared" si="56"/>
        <v>0</v>
      </c>
      <c r="G98" s="71">
        <f t="shared" si="57"/>
        <v>0</v>
      </c>
      <c r="H98" s="71">
        <f t="shared" si="58"/>
        <v>0</v>
      </c>
      <c r="I98" s="72">
        <f t="shared" si="53"/>
        <v>0</v>
      </c>
      <c r="J98" s="150"/>
      <c r="K98" s="48"/>
      <c r="L98" s="73">
        <f t="shared" si="35"/>
        <v>0</v>
      </c>
      <c r="M98" s="48"/>
      <c r="N98" s="73">
        <f t="shared" si="36"/>
        <v>0</v>
      </c>
      <c r="P98" s="48"/>
      <c r="Q98" s="73">
        <f t="shared" si="37"/>
        <v>0</v>
      </c>
      <c r="R98" s="48"/>
      <c r="S98" s="73">
        <f t="shared" si="38"/>
        <v>0</v>
      </c>
      <c r="T98" s="48"/>
      <c r="U98" s="73">
        <f t="shared" si="39"/>
        <v>0</v>
      </c>
      <c r="V98" s="48"/>
      <c r="W98" s="73">
        <f t="shared" si="40"/>
        <v>0</v>
      </c>
      <c r="Y98" s="48"/>
      <c r="Z98" s="73">
        <f t="shared" si="41"/>
        <v>0</v>
      </c>
      <c r="AA98" s="48"/>
      <c r="AB98" s="73">
        <f t="shared" si="42"/>
        <v>0</v>
      </c>
      <c r="AC98" s="48"/>
      <c r="AD98" s="73">
        <f t="shared" si="43"/>
        <v>0</v>
      </c>
      <c r="AE98" s="48"/>
      <c r="AF98" s="73">
        <f t="shared" si="44"/>
        <v>0</v>
      </c>
      <c r="AG98" s="2"/>
      <c r="AH98" s="48"/>
      <c r="AI98" s="73">
        <f t="shared" si="45"/>
        <v>0</v>
      </c>
      <c r="AJ98" s="48"/>
      <c r="AK98" s="73">
        <f t="shared" si="46"/>
        <v>0</v>
      </c>
      <c r="AL98" s="48"/>
      <c r="AM98" s="73">
        <f t="shared" si="47"/>
        <v>0</v>
      </c>
      <c r="AN98" s="48"/>
      <c r="AO98" s="73">
        <f t="shared" si="48"/>
        <v>0</v>
      </c>
      <c r="AP98" s="2"/>
      <c r="AQ98" s="48"/>
      <c r="AR98" s="73">
        <f t="shared" si="49"/>
        <v>0</v>
      </c>
      <c r="AS98" s="48"/>
      <c r="AT98" s="73">
        <f t="shared" si="50"/>
        <v>0</v>
      </c>
      <c r="AU98" s="48"/>
      <c r="AV98" s="73">
        <f t="shared" si="51"/>
        <v>0</v>
      </c>
      <c r="AW98" s="48"/>
      <c r="AX98" s="73">
        <f t="shared" si="52"/>
        <v>0</v>
      </c>
      <c r="AZ98" s="48"/>
      <c r="BA98" s="73">
        <f t="shared" si="59"/>
        <v>0</v>
      </c>
      <c r="BB98" s="48"/>
      <c r="BC98" s="73">
        <f t="shared" si="60"/>
        <v>0</v>
      </c>
      <c r="BD98" s="48"/>
      <c r="BE98" s="73">
        <f t="shared" si="61"/>
        <v>0</v>
      </c>
      <c r="BF98" s="48"/>
      <c r="BG98" s="73">
        <f t="shared" si="62"/>
        <v>0</v>
      </c>
      <c r="BI98" s="48"/>
      <c r="BJ98" s="73">
        <f t="shared" si="54"/>
        <v>0</v>
      </c>
      <c r="BK98" s="48"/>
      <c r="BL98" s="73">
        <f t="shared" si="70"/>
        <v>0</v>
      </c>
      <c r="BM98" s="48"/>
      <c r="BN98" s="73">
        <f t="shared" si="64"/>
        <v>0</v>
      </c>
      <c r="BO98" s="48"/>
      <c r="BP98" s="73">
        <f t="shared" si="65"/>
        <v>0</v>
      </c>
      <c r="BR98" s="48"/>
      <c r="BS98" s="73">
        <f t="shared" si="66"/>
        <v>0</v>
      </c>
      <c r="BT98" s="48"/>
      <c r="BU98" s="73">
        <f t="shared" si="67"/>
        <v>0</v>
      </c>
      <c r="BW98" s="48"/>
      <c r="BX98" s="73">
        <f t="shared" si="68"/>
        <v>0</v>
      </c>
      <c r="BZ98" s="48"/>
      <c r="CA98" s="73">
        <f t="shared" si="71"/>
        <v>0</v>
      </c>
    </row>
    <row r="99" spans="1:79" thickBot="1">
      <c r="A99" s="24">
        <v>93</v>
      </c>
      <c r="B99" s="39"/>
      <c r="C99" s="40"/>
      <c r="D99" s="56"/>
      <c r="E99" s="70">
        <f t="shared" si="55"/>
        <v>0</v>
      </c>
      <c r="F99" s="70">
        <f t="shared" si="56"/>
        <v>0</v>
      </c>
      <c r="G99" s="71">
        <f t="shared" si="57"/>
        <v>0</v>
      </c>
      <c r="H99" s="71">
        <f t="shared" si="58"/>
        <v>0</v>
      </c>
      <c r="I99" s="72">
        <f t="shared" si="53"/>
        <v>0</v>
      </c>
      <c r="J99" s="150"/>
      <c r="K99" s="48"/>
      <c r="L99" s="73">
        <f t="shared" si="35"/>
        <v>0</v>
      </c>
      <c r="M99" s="48"/>
      <c r="N99" s="73">
        <f t="shared" si="36"/>
        <v>0</v>
      </c>
      <c r="P99" s="48"/>
      <c r="Q99" s="73">
        <f t="shared" si="37"/>
        <v>0</v>
      </c>
      <c r="R99" s="48"/>
      <c r="S99" s="73">
        <f t="shared" si="38"/>
        <v>0</v>
      </c>
      <c r="T99" s="48"/>
      <c r="U99" s="73">
        <f t="shared" si="39"/>
        <v>0</v>
      </c>
      <c r="V99" s="48"/>
      <c r="W99" s="73">
        <f t="shared" si="40"/>
        <v>0</v>
      </c>
      <c r="Y99" s="48"/>
      <c r="Z99" s="73">
        <f t="shared" si="41"/>
        <v>0</v>
      </c>
      <c r="AA99" s="48"/>
      <c r="AB99" s="73">
        <f t="shared" si="42"/>
        <v>0</v>
      </c>
      <c r="AC99" s="48"/>
      <c r="AD99" s="73">
        <f t="shared" si="43"/>
        <v>0</v>
      </c>
      <c r="AE99" s="48"/>
      <c r="AF99" s="73">
        <f t="shared" si="44"/>
        <v>0</v>
      </c>
      <c r="AG99" s="2"/>
      <c r="AH99" s="48"/>
      <c r="AI99" s="73">
        <f t="shared" si="45"/>
        <v>0</v>
      </c>
      <c r="AJ99" s="48"/>
      <c r="AK99" s="73">
        <f t="shared" si="46"/>
        <v>0</v>
      </c>
      <c r="AL99" s="48"/>
      <c r="AM99" s="73">
        <f t="shared" si="47"/>
        <v>0</v>
      </c>
      <c r="AN99" s="48"/>
      <c r="AO99" s="73">
        <f t="shared" si="48"/>
        <v>0</v>
      </c>
      <c r="AP99" s="2"/>
      <c r="AQ99" s="48"/>
      <c r="AR99" s="73">
        <f t="shared" si="49"/>
        <v>0</v>
      </c>
      <c r="AS99" s="48"/>
      <c r="AT99" s="73">
        <f t="shared" si="50"/>
        <v>0</v>
      </c>
      <c r="AU99" s="48"/>
      <c r="AV99" s="73">
        <f t="shared" si="51"/>
        <v>0</v>
      </c>
      <c r="AW99" s="48"/>
      <c r="AX99" s="73">
        <f t="shared" si="52"/>
        <v>0</v>
      </c>
      <c r="AZ99" s="48"/>
      <c r="BA99" s="73">
        <f t="shared" si="59"/>
        <v>0</v>
      </c>
      <c r="BB99" s="48"/>
      <c r="BC99" s="73">
        <f t="shared" si="60"/>
        <v>0</v>
      </c>
      <c r="BD99" s="48"/>
      <c r="BE99" s="73">
        <f t="shared" si="61"/>
        <v>0</v>
      </c>
      <c r="BF99" s="48"/>
      <c r="BG99" s="73">
        <f t="shared" si="62"/>
        <v>0</v>
      </c>
      <c r="BI99" s="48"/>
      <c r="BJ99" s="73">
        <f t="shared" si="54"/>
        <v>0</v>
      </c>
      <c r="BK99" s="48"/>
      <c r="BL99" s="73">
        <f t="shared" si="70"/>
        <v>0</v>
      </c>
      <c r="BM99" s="48"/>
      <c r="BN99" s="73">
        <f t="shared" si="64"/>
        <v>0</v>
      </c>
      <c r="BO99" s="48"/>
      <c r="BP99" s="73">
        <f t="shared" si="65"/>
        <v>0</v>
      </c>
      <c r="BR99" s="48"/>
      <c r="BS99" s="73">
        <f t="shared" si="66"/>
        <v>0</v>
      </c>
      <c r="BT99" s="48"/>
      <c r="BU99" s="73">
        <f t="shared" si="67"/>
        <v>0</v>
      </c>
      <c r="BW99" s="48"/>
      <c r="BX99" s="73">
        <f t="shared" si="68"/>
        <v>0</v>
      </c>
      <c r="BZ99" s="48"/>
      <c r="CA99" s="73">
        <f t="shared" si="71"/>
        <v>0</v>
      </c>
    </row>
    <row r="100" spans="1:79" thickBot="1">
      <c r="A100" s="21">
        <v>94</v>
      </c>
      <c r="B100" s="39"/>
      <c r="C100" s="40"/>
      <c r="D100" s="56"/>
      <c r="E100" s="70">
        <f t="shared" si="55"/>
        <v>0</v>
      </c>
      <c r="F100" s="70">
        <f t="shared" si="56"/>
        <v>0</v>
      </c>
      <c r="G100" s="71">
        <f t="shared" si="57"/>
        <v>0</v>
      </c>
      <c r="H100" s="71">
        <f t="shared" si="58"/>
        <v>0</v>
      </c>
      <c r="I100" s="72">
        <f t="shared" si="53"/>
        <v>0</v>
      </c>
      <c r="J100" s="150"/>
      <c r="K100" s="48"/>
      <c r="L100" s="73">
        <f t="shared" si="35"/>
        <v>0</v>
      </c>
      <c r="M100" s="48"/>
      <c r="N100" s="73">
        <f t="shared" si="36"/>
        <v>0</v>
      </c>
      <c r="P100" s="48"/>
      <c r="Q100" s="73">
        <f t="shared" si="37"/>
        <v>0</v>
      </c>
      <c r="R100" s="48"/>
      <c r="S100" s="73">
        <f t="shared" si="38"/>
        <v>0</v>
      </c>
      <c r="T100" s="48"/>
      <c r="U100" s="73">
        <f t="shared" si="39"/>
        <v>0</v>
      </c>
      <c r="V100" s="48"/>
      <c r="W100" s="73">
        <f t="shared" si="40"/>
        <v>0</v>
      </c>
      <c r="Y100" s="48"/>
      <c r="Z100" s="73">
        <f t="shared" si="41"/>
        <v>0</v>
      </c>
      <c r="AA100" s="48"/>
      <c r="AB100" s="73">
        <f t="shared" si="42"/>
        <v>0</v>
      </c>
      <c r="AC100" s="48"/>
      <c r="AD100" s="73">
        <f t="shared" si="43"/>
        <v>0</v>
      </c>
      <c r="AE100" s="48"/>
      <c r="AF100" s="73">
        <f t="shared" si="44"/>
        <v>0</v>
      </c>
      <c r="AG100" s="2"/>
      <c r="AH100" s="48"/>
      <c r="AI100" s="73">
        <f t="shared" si="45"/>
        <v>0</v>
      </c>
      <c r="AJ100" s="48"/>
      <c r="AK100" s="73">
        <f t="shared" si="46"/>
        <v>0</v>
      </c>
      <c r="AL100" s="48"/>
      <c r="AM100" s="73">
        <f t="shared" si="47"/>
        <v>0</v>
      </c>
      <c r="AN100" s="48"/>
      <c r="AO100" s="73">
        <f t="shared" si="48"/>
        <v>0</v>
      </c>
      <c r="AP100" s="2"/>
      <c r="AQ100" s="48"/>
      <c r="AR100" s="73">
        <f t="shared" si="49"/>
        <v>0</v>
      </c>
      <c r="AS100" s="48"/>
      <c r="AT100" s="73">
        <f t="shared" si="50"/>
        <v>0</v>
      </c>
      <c r="AU100" s="48"/>
      <c r="AV100" s="73">
        <f t="shared" si="51"/>
        <v>0</v>
      </c>
      <c r="AW100" s="48"/>
      <c r="AX100" s="73">
        <f t="shared" si="52"/>
        <v>0</v>
      </c>
      <c r="AZ100" s="48"/>
      <c r="BA100" s="73">
        <f t="shared" si="59"/>
        <v>0</v>
      </c>
      <c r="BB100" s="48"/>
      <c r="BC100" s="73">
        <f t="shared" si="60"/>
        <v>0</v>
      </c>
      <c r="BD100" s="48"/>
      <c r="BE100" s="73">
        <f t="shared" si="61"/>
        <v>0</v>
      </c>
      <c r="BF100" s="48"/>
      <c r="BG100" s="73">
        <f t="shared" si="62"/>
        <v>0</v>
      </c>
      <c r="BI100" s="48"/>
      <c r="BJ100" s="73">
        <f t="shared" si="54"/>
        <v>0</v>
      </c>
      <c r="BK100" s="48"/>
      <c r="BL100" s="73">
        <f t="shared" si="70"/>
        <v>0</v>
      </c>
      <c r="BM100" s="48"/>
      <c r="BN100" s="73">
        <f t="shared" si="64"/>
        <v>0</v>
      </c>
      <c r="BO100" s="48"/>
      <c r="BP100" s="73">
        <f t="shared" si="65"/>
        <v>0</v>
      </c>
      <c r="BR100" s="48"/>
      <c r="BS100" s="73">
        <f t="shared" si="66"/>
        <v>0</v>
      </c>
      <c r="BT100" s="48"/>
      <c r="BU100" s="73">
        <f t="shared" si="67"/>
        <v>0</v>
      </c>
      <c r="BW100" s="48"/>
      <c r="BX100" s="73">
        <f t="shared" si="68"/>
        <v>0</v>
      </c>
      <c r="BZ100" s="48"/>
      <c r="CA100" s="73">
        <f t="shared" si="71"/>
        <v>0</v>
      </c>
    </row>
    <row r="101" spans="1:79" thickBot="1">
      <c r="A101" s="24">
        <v>95</v>
      </c>
      <c r="B101" s="39"/>
      <c r="C101" s="40"/>
      <c r="D101" s="56"/>
      <c r="E101" s="70">
        <f t="shared" si="55"/>
        <v>0</v>
      </c>
      <c r="F101" s="70">
        <f t="shared" si="56"/>
        <v>0</v>
      </c>
      <c r="G101" s="71">
        <f t="shared" si="57"/>
        <v>0</v>
      </c>
      <c r="H101" s="71">
        <f t="shared" si="58"/>
        <v>0</v>
      </c>
      <c r="I101" s="72">
        <f t="shared" si="53"/>
        <v>0</v>
      </c>
      <c r="J101" s="150"/>
      <c r="K101" s="48"/>
      <c r="L101" s="73">
        <f t="shared" si="35"/>
        <v>0</v>
      </c>
      <c r="M101" s="48"/>
      <c r="N101" s="73">
        <f t="shared" si="36"/>
        <v>0</v>
      </c>
      <c r="P101" s="48"/>
      <c r="Q101" s="73">
        <f t="shared" si="37"/>
        <v>0</v>
      </c>
      <c r="R101" s="48"/>
      <c r="S101" s="73">
        <f t="shared" si="38"/>
        <v>0</v>
      </c>
      <c r="T101" s="48"/>
      <c r="U101" s="73">
        <f t="shared" si="39"/>
        <v>0</v>
      </c>
      <c r="V101" s="48"/>
      <c r="W101" s="73">
        <f t="shared" si="40"/>
        <v>0</v>
      </c>
      <c r="Y101" s="48"/>
      <c r="Z101" s="73">
        <f t="shared" si="41"/>
        <v>0</v>
      </c>
      <c r="AA101" s="48"/>
      <c r="AB101" s="73">
        <f t="shared" si="42"/>
        <v>0</v>
      </c>
      <c r="AC101" s="48"/>
      <c r="AD101" s="73">
        <f t="shared" si="43"/>
        <v>0</v>
      </c>
      <c r="AE101" s="48"/>
      <c r="AF101" s="73">
        <f t="shared" si="44"/>
        <v>0</v>
      </c>
      <c r="AG101" s="2"/>
      <c r="AH101" s="48"/>
      <c r="AI101" s="73">
        <f t="shared" si="45"/>
        <v>0</v>
      </c>
      <c r="AJ101" s="48"/>
      <c r="AK101" s="73">
        <f t="shared" si="46"/>
        <v>0</v>
      </c>
      <c r="AL101" s="48"/>
      <c r="AM101" s="73">
        <f t="shared" si="47"/>
        <v>0</v>
      </c>
      <c r="AN101" s="48"/>
      <c r="AO101" s="73">
        <f t="shared" si="48"/>
        <v>0</v>
      </c>
      <c r="AP101" s="2"/>
      <c r="AQ101" s="48"/>
      <c r="AR101" s="73">
        <f t="shared" si="49"/>
        <v>0</v>
      </c>
      <c r="AS101" s="48"/>
      <c r="AT101" s="73">
        <f t="shared" si="50"/>
        <v>0</v>
      </c>
      <c r="AU101" s="48"/>
      <c r="AV101" s="73">
        <f t="shared" si="51"/>
        <v>0</v>
      </c>
      <c r="AW101" s="48"/>
      <c r="AX101" s="73">
        <f t="shared" si="52"/>
        <v>0</v>
      </c>
      <c r="AZ101" s="48"/>
      <c r="BA101" s="73">
        <f t="shared" si="59"/>
        <v>0</v>
      </c>
      <c r="BB101" s="48"/>
      <c r="BC101" s="73">
        <f t="shared" si="60"/>
        <v>0</v>
      </c>
      <c r="BD101" s="48"/>
      <c r="BE101" s="73">
        <f t="shared" si="61"/>
        <v>0</v>
      </c>
      <c r="BF101" s="48"/>
      <c r="BG101" s="73">
        <f t="shared" si="62"/>
        <v>0</v>
      </c>
      <c r="BI101" s="48"/>
      <c r="BJ101" s="73">
        <f t="shared" si="54"/>
        <v>0</v>
      </c>
      <c r="BK101" s="48"/>
      <c r="BL101" s="73">
        <f t="shared" si="70"/>
        <v>0</v>
      </c>
      <c r="BM101" s="48"/>
      <c r="BN101" s="73">
        <f t="shared" si="64"/>
        <v>0</v>
      </c>
      <c r="BO101" s="48"/>
      <c r="BP101" s="73">
        <f t="shared" si="65"/>
        <v>0</v>
      </c>
      <c r="BR101" s="48"/>
      <c r="BS101" s="73">
        <f t="shared" si="66"/>
        <v>0</v>
      </c>
      <c r="BT101" s="48"/>
      <c r="BU101" s="73">
        <f t="shared" si="67"/>
        <v>0</v>
      </c>
      <c r="BW101" s="48"/>
      <c r="BX101" s="73">
        <f t="shared" si="68"/>
        <v>0</v>
      </c>
      <c r="BZ101" s="48"/>
      <c r="CA101" s="73">
        <f t="shared" si="71"/>
        <v>0</v>
      </c>
    </row>
    <row r="102" spans="1:79" thickBot="1">
      <c r="A102" s="21">
        <v>96</v>
      </c>
      <c r="B102" s="39"/>
      <c r="C102" s="40"/>
      <c r="D102" s="56"/>
      <c r="E102" s="70">
        <f t="shared" si="55"/>
        <v>0</v>
      </c>
      <c r="F102" s="70">
        <f t="shared" si="56"/>
        <v>0</v>
      </c>
      <c r="G102" s="71">
        <f t="shared" si="57"/>
        <v>0</v>
      </c>
      <c r="H102" s="71">
        <f t="shared" si="58"/>
        <v>0</v>
      </c>
      <c r="I102" s="72">
        <f t="shared" si="53"/>
        <v>0</v>
      </c>
      <c r="J102" s="150"/>
      <c r="K102" s="48"/>
      <c r="L102" s="73">
        <f t="shared" si="35"/>
        <v>0</v>
      </c>
      <c r="M102" s="48"/>
      <c r="N102" s="73">
        <f t="shared" si="36"/>
        <v>0</v>
      </c>
      <c r="P102" s="48"/>
      <c r="Q102" s="73">
        <f t="shared" si="37"/>
        <v>0</v>
      </c>
      <c r="R102" s="48"/>
      <c r="S102" s="73">
        <f t="shared" si="38"/>
        <v>0</v>
      </c>
      <c r="T102" s="48"/>
      <c r="U102" s="73">
        <f t="shared" si="39"/>
        <v>0</v>
      </c>
      <c r="V102" s="48"/>
      <c r="W102" s="73">
        <f t="shared" si="40"/>
        <v>0</v>
      </c>
      <c r="Y102" s="48"/>
      <c r="Z102" s="73">
        <f t="shared" si="41"/>
        <v>0</v>
      </c>
      <c r="AA102" s="48"/>
      <c r="AB102" s="73">
        <f t="shared" si="42"/>
        <v>0</v>
      </c>
      <c r="AC102" s="48"/>
      <c r="AD102" s="73">
        <f t="shared" si="43"/>
        <v>0</v>
      </c>
      <c r="AE102" s="48"/>
      <c r="AF102" s="73">
        <f t="shared" si="44"/>
        <v>0</v>
      </c>
      <c r="AG102" s="2"/>
      <c r="AH102" s="48"/>
      <c r="AI102" s="73">
        <f t="shared" si="45"/>
        <v>0</v>
      </c>
      <c r="AJ102" s="48"/>
      <c r="AK102" s="73">
        <f t="shared" si="46"/>
        <v>0</v>
      </c>
      <c r="AL102" s="48"/>
      <c r="AM102" s="73">
        <f t="shared" si="47"/>
        <v>0</v>
      </c>
      <c r="AN102" s="48"/>
      <c r="AO102" s="73">
        <f t="shared" si="48"/>
        <v>0</v>
      </c>
      <c r="AP102" s="2"/>
      <c r="AQ102" s="48"/>
      <c r="AR102" s="73">
        <f t="shared" si="49"/>
        <v>0</v>
      </c>
      <c r="AS102" s="48"/>
      <c r="AT102" s="73">
        <f t="shared" si="50"/>
        <v>0</v>
      </c>
      <c r="AU102" s="48"/>
      <c r="AV102" s="73">
        <f t="shared" si="51"/>
        <v>0</v>
      </c>
      <c r="AW102" s="48"/>
      <c r="AX102" s="73">
        <f t="shared" si="52"/>
        <v>0</v>
      </c>
      <c r="AZ102" s="48"/>
      <c r="BA102" s="73">
        <f t="shared" si="59"/>
        <v>0</v>
      </c>
      <c r="BB102" s="48"/>
      <c r="BC102" s="73">
        <f t="shared" si="60"/>
        <v>0</v>
      </c>
      <c r="BD102" s="48"/>
      <c r="BE102" s="73">
        <f t="shared" si="61"/>
        <v>0</v>
      </c>
      <c r="BF102" s="48"/>
      <c r="BG102" s="73">
        <f t="shared" si="62"/>
        <v>0</v>
      </c>
      <c r="BI102" s="48"/>
      <c r="BJ102" s="73">
        <f t="shared" si="54"/>
        <v>0</v>
      </c>
      <c r="BK102" s="48"/>
      <c r="BL102" s="73">
        <f t="shared" si="70"/>
        <v>0</v>
      </c>
      <c r="BM102" s="48"/>
      <c r="BN102" s="73">
        <f t="shared" si="64"/>
        <v>0</v>
      </c>
      <c r="BO102" s="48"/>
      <c r="BP102" s="73">
        <f t="shared" si="65"/>
        <v>0</v>
      </c>
      <c r="BR102" s="48"/>
      <c r="BS102" s="73">
        <f t="shared" si="66"/>
        <v>0</v>
      </c>
      <c r="BT102" s="48"/>
      <c r="BU102" s="73">
        <f t="shared" si="67"/>
        <v>0</v>
      </c>
      <c r="BW102" s="48"/>
      <c r="BX102" s="73">
        <f t="shared" si="68"/>
        <v>0</v>
      </c>
      <c r="BZ102" s="48"/>
      <c r="CA102" s="73">
        <f t="shared" si="71"/>
        <v>0</v>
      </c>
    </row>
    <row r="103" spans="1:79" thickBot="1">
      <c r="A103" s="24">
        <v>97</v>
      </c>
      <c r="B103" s="39"/>
      <c r="C103" s="40"/>
      <c r="D103" s="56"/>
      <c r="E103" s="70">
        <f t="shared" si="55"/>
        <v>0</v>
      </c>
      <c r="F103" s="70">
        <f t="shared" si="56"/>
        <v>0</v>
      </c>
      <c r="G103" s="71">
        <f t="shared" si="57"/>
        <v>0</v>
      </c>
      <c r="H103" s="71">
        <f t="shared" si="58"/>
        <v>0</v>
      </c>
      <c r="I103" s="72">
        <f t="shared" si="53"/>
        <v>0</v>
      </c>
      <c r="J103" s="150"/>
      <c r="K103" s="48"/>
      <c r="L103" s="73">
        <f t="shared" si="35"/>
        <v>0</v>
      </c>
      <c r="M103" s="48"/>
      <c r="N103" s="73">
        <f t="shared" si="36"/>
        <v>0</v>
      </c>
      <c r="P103" s="48"/>
      <c r="Q103" s="73">
        <f t="shared" si="37"/>
        <v>0</v>
      </c>
      <c r="R103" s="48"/>
      <c r="S103" s="73">
        <f t="shared" si="38"/>
        <v>0</v>
      </c>
      <c r="T103" s="48"/>
      <c r="U103" s="73">
        <f t="shared" si="39"/>
        <v>0</v>
      </c>
      <c r="V103" s="48"/>
      <c r="W103" s="73">
        <f t="shared" si="40"/>
        <v>0</v>
      </c>
      <c r="Y103" s="48"/>
      <c r="Z103" s="73">
        <f t="shared" si="41"/>
        <v>0</v>
      </c>
      <c r="AA103" s="48"/>
      <c r="AB103" s="73">
        <f t="shared" si="42"/>
        <v>0</v>
      </c>
      <c r="AC103" s="48"/>
      <c r="AD103" s="73">
        <f t="shared" si="43"/>
        <v>0</v>
      </c>
      <c r="AE103" s="48"/>
      <c r="AF103" s="73">
        <f t="shared" si="44"/>
        <v>0</v>
      </c>
      <c r="AG103" s="2"/>
      <c r="AH103" s="48"/>
      <c r="AI103" s="73">
        <f t="shared" si="45"/>
        <v>0</v>
      </c>
      <c r="AJ103" s="48"/>
      <c r="AK103" s="73">
        <f t="shared" si="46"/>
        <v>0</v>
      </c>
      <c r="AL103" s="48"/>
      <c r="AM103" s="73">
        <f t="shared" si="47"/>
        <v>0</v>
      </c>
      <c r="AN103" s="48"/>
      <c r="AO103" s="73">
        <f t="shared" si="48"/>
        <v>0</v>
      </c>
      <c r="AP103" s="2"/>
      <c r="AQ103" s="48"/>
      <c r="AR103" s="73">
        <f t="shared" si="49"/>
        <v>0</v>
      </c>
      <c r="AS103" s="48"/>
      <c r="AT103" s="73">
        <f t="shared" si="50"/>
        <v>0</v>
      </c>
      <c r="AU103" s="48"/>
      <c r="AV103" s="73">
        <f t="shared" si="51"/>
        <v>0</v>
      </c>
      <c r="AW103" s="48"/>
      <c r="AX103" s="73">
        <f t="shared" si="52"/>
        <v>0</v>
      </c>
      <c r="AZ103" s="48"/>
      <c r="BA103" s="73">
        <f t="shared" si="59"/>
        <v>0</v>
      </c>
      <c r="BB103" s="48"/>
      <c r="BC103" s="73">
        <f t="shared" si="60"/>
        <v>0</v>
      </c>
      <c r="BD103" s="48"/>
      <c r="BE103" s="73">
        <f t="shared" si="61"/>
        <v>0</v>
      </c>
      <c r="BF103" s="48"/>
      <c r="BG103" s="73">
        <f t="shared" si="62"/>
        <v>0</v>
      </c>
      <c r="BI103" s="48"/>
      <c r="BJ103" s="73">
        <f t="shared" si="54"/>
        <v>0</v>
      </c>
      <c r="BK103" s="48"/>
      <c r="BL103" s="73">
        <f t="shared" si="70"/>
        <v>0</v>
      </c>
      <c r="BM103" s="48"/>
      <c r="BN103" s="73">
        <f t="shared" si="64"/>
        <v>0</v>
      </c>
      <c r="BO103" s="48"/>
      <c r="BP103" s="73">
        <f t="shared" si="65"/>
        <v>0</v>
      </c>
      <c r="BR103" s="48"/>
      <c r="BS103" s="73">
        <f t="shared" si="66"/>
        <v>0</v>
      </c>
      <c r="BT103" s="48"/>
      <c r="BU103" s="73">
        <f t="shared" si="67"/>
        <v>0</v>
      </c>
      <c r="BW103" s="48"/>
      <c r="BX103" s="73">
        <f t="shared" si="68"/>
        <v>0</v>
      </c>
      <c r="BZ103" s="48"/>
      <c r="CA103" s="73">
        <f t="shared" si="71"/>
        <v>0</v>
      </c>
    </row>
    <row r="104" spans="1:79" thickBot="1">
      <c r="A104" s="21">
        <v>98</v>
      </c>
      <c r="B104" s="39"/>
      <c r="C104" s="40"/>
      <c r="D104" s="56"/>
      <c r="E104" s="70">
        <f t="shared" si="55"/>
        <v>0</v>
      </c>
      <c r="F104" s="70">
        <f t="shared" si="56"/>
        <v>0</v>
      </c>
      <c r="G104" s="71">
        <f t="shared" si="57"/>
        <v>0</v>
      </c>
      <c r="H104" s="71">
        <f t="shared" si="58"/>
        <v>0</v>
      </c>
      <c r="I104" s="72">
        <f t="shared" si="53"/>
        <v>0</v>
      </c>
      <c r="J104" s="150"/>
      <c r="K104" s="48"/>
      <c r="L104" s="73">
        <f t="shared" si="35"/>
        <v>0</v>
      </c>
      <c r="M104" s="48"/>
      <c r="N104" s="73">
        <f t="shared" si="36"/>
        <v>0</v>
      </c>
      <c r="P104" s="48"/>
      <c r="Q104" s="73">
        <f t="shared" si="37"/>
        <v>0</v>
      </c>
      <c r="R104" s="48"/>
      <c r="S104" s="73">
        <f t="shared" si="38"/>
        <v>0</v>
      </c>
      <c r="T104" s="48"/>
      <c r="U104" s="73">
        <f t="shared" si="39"/>
        <v>0</v>
      </c>
      <c r="V104" s="48"/>
      <c r="W104" s="73">
        <f t="shared" si="40"/>
        <v>0</v>
      </c>
      <c r="Y104" s="48"/>
      <c r="Z104" s="73">
        <f t="shared" si="41"/>
        <v>0</v>
      </c>
      <c r="AA104" s="48"/>
      <c r="AB104" s="73">
        <f t="shared" si="42"/>
        <v>0</v>
      </c>
      <c r="AC104" s="48"/>
      <c r="AD104" s="73">
        <f t="shared" si="43"/>
        <v>0</v>
      </c>
      <c r="AE104" s="48"/>
      <c r="AF104" s="73">
        <f t="shared" si="44"/>
        <v>0</v>
      </c>
      <c r="AG104" s="2"/>
      <c r="AH104" s="48"/>
      <c r="AI104" s="73">
        <f t="shared" si="45"/>
        <v>0</v>
      </c>
      <c r="AJ104" s="48"/>
      <c r="AK104" s="73">
        <f t="shared" si="46"/>
        <v>0</v>
      </c>
      <c r="AL104" s="48"/>
      <c r="AM104" s="73">
        <f t="shared" si="47"/>
        <v>0</v>
      </c>
      <c r="AN104" s="48"/>
      <c r="AO104" s="73">
        <f t="shared" si="48"/>
        <v>0</v>
      </c>
      <c r="AP104" s="2"/>
      <c r="AQ104" s="48"/>
      <c r="AR104" s="73">
        <f t="shared" si="49"/>
        <v>0</v>
      </c>
      <c r="AS104" s="48"/>
      <c r="AT104" s="73">
        <f t="shared" si="50"/>
        <v>0</v>
      </c>
      <c r="AU104" s="48"/>
      <c r="AV104" s="73">
        <f t="shared" si="51"/>
        <v>0</v>
      </c>
      <c r="AW104" s="48"/>
      <c r="AX104" s="73">
        <f t="shared" si="52"/>
        <v>0</v>
      </c>
      <c r="AZ104" s="48"/>
      <c r="BA104" s="73">
        <f t="shared" si="59"/>
        <v>0</v>
      </c>
      <c r="BB104" s="48"/>
      <c r="BC104" s="73">
        <f t="shared" si="60"/>
        <v>0</v>
      </c>
      <c r="BD104" s="48"/>
      <c r="BE104" s="73">
        <f t="shared" si="61"/>
        <v>0</v>
      </c>
      <c r="BF104" s="48"/>
      <c r="BG104" s="73">
        <f t="shared" si="62"/>
        <v>0</v>
      </c>
      <c r="BI104" s="48"/>
      <c r="BJ104" s="73">
        <f t="shared" si="54"/>
        <v>0</v>
      </c>
      <c r="BK104" s="48"/>
      <c r="BL104" s="73">
        <f t="shared" si="70"/>
        <v>0</v>
      </c>
      <c r="BM104" s="48"/>
      <c r="BN104" s="73">
        <f t="shared" si="64"/>
        <v>0</v>
      </c>
      <c r="BO104" s="48"/>
      <c r="BP104" s="73">
        <f t="shared" si="65"/>
        <v>0</v>
      </c>
      <c r="BR104" s="48"/>
      <c r="BS104" s="73">
        <f t="shared" si="66"/>
        <v>0</v>
      </c>
      <c r="BT104" s="48"/>
      <c r="BU104" s="73">
        <f t="shared" si="67"/>
        <v>0</v>
      </c>
      <c r="BW104" s="48"/>
      <c r="BX104" s="73">
        <f t="shared" si="68"/>
        <v>0</v>
      </c>
      <c r="BZ104" s="48"/>
      <c r="CA104" s="73">
        <f t="shared" si="71"/>
        <v>0</v>
      </c>
    </row>
    <row r="105" spans="1:79" thickBot="1">
      <c r="A105" s="24">
        <v>99</v>
      </c>
      <c r="B105" s="39"/>
      <c r="C105" s="40"/>
      <c r="D105" s="56"/>
      <c r="E105" s="70">
        <f t="shared" si="55"/>
        <v>0</v>
      </c>
      <c r="F105" s="70">
        <f t="shared" si="56"/>
        <v>0</v>
      </c>
      <c r="G105" s="71">
        <f t="shared" si="57"/>
        <v>0</v>
      </c>
      <c r="H105" s="71">
        <f t="shared" si="58"/>
        <v>0</v>
      </c>
      <c r="I105" s="72">
        <f t="shared" si="53"/>
        <v>0</v>
      </c>
      <c r="J105" s="150"/>
      <c r="K105" s="48"/>
      <c r="L105" s="73">
        <f t="shared" si="35"/>
        <v>0</v>
      </c>
      <c r="M105" s="48"/>
      <c r="N105" s="73">
        <f t="shared" si="36"/>
        <v>0</v>
      </c>
      <c r="P105" s="48"/>
      <c r="Q105" s="73">
        <f t="shared" si="37"/>
        <v>0</v>
      </c>
      <c r="R105" s="48"/>
      <c r="S105" s="73">
        <f t="shared" si="38"/>
        <v>0</v>
      </c>
      <c r="T105" s="48"/>
      <c r="U105" s="73">
        <f t="shared" si="39"/>
        <v>0</v>
      </c>
      <c r="V105" s="48"/>
      <c r="W105" s="73">
        <f t="shared" si="40"/>
        <v>0</v>
      </c>
      <c r="Y105" s="48"/>
      <c r="Z105" s="73">
        <f t="shared" si="41"/>
        <v>0</v>
      </c>
      <c r="AA105" s="48"/>
      <c r="AB105" s="73">
        <f t="shared" si="42"/>
        <v>0</v>
      </c>
      <c r="AC105" s="48"/>
      <c r="AD105" s="73">
        <f t="shared" si="43"/>
        <v>0</v>
      </c>
      <c r="AE105" s="48"/>
      <c r="AF105" s="73">
        <f t="shared" si="44"/>
        <v>0</v>
      </c>
      <c r="AG105" s="2"/>
      <c r="AH105" s="48"/>
      <c r="AI105" s="73">
        <f t="shared" si="45"/>
        <v>0</v>
      </c>
      <c r="AJ105" s="48"/>
      <c r="AK105" s="73">
        <f t="shared" si="46"/>
        <v>0</v>
      </c>
      <c r="AL105" s="48"/>
      <c r="AM105" s="73">
        <f t="shared" si="47"/>
        <v>0</v>
      </c>
      <c r="AN105" s="48"/>
      <c r="AO105" s="73">
        <f t="shared" si="48"/>
        <v>0</v>
      </c>
      <c r="AP105" s="2"/>
      <c r="AQ105" s="48"/>
      <c r="AR105" s="73">
        <f t="shared" si="49"/>
        <v>0</v>
      </c>
      <c r="AS105" s="48"/>
      <c r="AT105" s="73">
        <f t="shared" si="50"/>
        <v>0</v>
      </c>
      <c r="AU105" s="48"/>
      <c r="AV105" s="73">
        <f t="shared" si="51"/>
        <v>0</v>
      </c>
      <c r="AW105" s="48"/>
      <c r="AX105" s="73">
        <f t="shared" si="52"/>
        <v>0</v>
      </c>
      <c r="AZ105" s="48"/>
      <c r="BA105" s="73">
        <f t="shared" si="59"/>
        <v>0</v>
      </c>
      <c r="BB105" s="48"/>
      <c r="BC105" s="73">
        <f t="shared" si="60"/>
        <v>0</v>
      </c>
      <c r="BD105" s="48"/>
      <c r="BE105" s="73">
        <f t="shared" si="61"/>
        <v>0</v>
      </c>
      <c r="BF105" s="48"/>
      <c r="BG105" s="73">
        <f t="shared" si="62"/>
        <v>0</v>
      </c>
      <c r="BI105" s="48"/>
      <c r="BJ105" s="73">
        <f t="shared" si="54"/>
        <v>0</v>
      </c>
      <c r="BK105" s="48"/>
      <c r="BL105" s="73">
        <f t="shared" si="70"/>
        <v>0</v>
      </c>
      <c r="BM105" s="48"/>
      <c r="BN105" s="73">
        <f t="shared" si="64"/>
        <v>0</v>
      </c>
      <c r="BO105" s="48"/>
      <c r="BP105" s="73">
        <f t="shared" si="65"/>
        <v>0</v>
      </c>
      <c r="BR105" s="48"/>
      <c r="BS105" s="73">
        <f t="shared" si="66"/>
        <v>0</v>
      </c>
      <c r="BT105" s="48"/>
      <c r="BU105" s="73">
        <f t="shared" si="67"/>
        <v>0</v>
      </c>
      <c r="BW105" s="48"/>
      <c r="BX105" s="73">
        <f t="shared" si="68"/>
        <v>0</v>
      </c>
      <c r="BZ105" s="48"/>
      <c r="CA105" s="73">
        <f t="shared" si="71"/>
        <v>0</v>
      </c>
    </row>
    <row r="106" spans="1:79" thickBot="1">
      <c r="A106" s="21">
        <v>100</v>
      </c>
      <c r="B106" s="39"/>
      <c r="C106" s="40"/>
      <c r="D106" s="56"/>
      <c r="E106" s="70">
        <f t="shared" si="55"/>
        <v>0</v>
      </c>
      <c r="F106" s="70">
        <f t="shared" si="56"/>
        <v>0</v>
      </c>
      <c r="G106" s="71">
        <f t="shared" si="57"/>
        <v>0</v>
      </c>
      <c r="H106" s="71">
        <f t="shared" si="58"/>
        <v>0</v>
      </c>
      <c r="I106" s="72">
        <f t="shared" si="53"/>
        <v>0</v>
      </c>
      <c r="J106" s="150"/>
      <c r="K106" s="48"/>
      <c r="L106" s="73">
        <f t="shared" si="35"/>
        <v>0</v>
      </c>
      <c r="M106" s="48"/>
      <c r="N106" s="73">
        <f t="shared" si="36"/>
        <v>0</v>
      </c>
      <c r="P106" s="48"/>
      <c r="Q106" s="73">
        <f t="shared" si="37"/>
        <v>0</v>
      </c>
      <c r="R106" s="48"/>
      <c r="S106" s="73">
        <f t="shared" si="38"/>
        <v>0</v>
      </c>
      <c r="T106" s="48"/>
      <c r="U106" s="73">
        <f t="shared" si="39"/>
        <v>0</v>
      </c>
      <c r="V106" s="48"/>
      <c r="W106" s="73">
        <f t="shared" si="40"/>
        <v>0</v>
      </c>
      <c r="Y106" s="48"/>
      <c r="Z106" s="73">
        <f t="shared" si="41"/>
        <v>0</v>
      </c>
      <c r="AA106" s="48"/>
      <c r="AB106" s="73">
        <f t="shared" si="42"/>
        <v>0</v>
      </c>
      <c r="AC106" s="48"/>
      <c r="AD106" s="73">
        <f t="shared" si="43"/>
        <v>0</v>
      </c>
      <c r="AE106" s="48"/>
      <c r="AF106" s="73">
        <f t="shared" si="44"/>
        <v>0</v>
      </c>
      <c r="AG106" s="2"/>
      <c r="AH106" s="48"/>
      <c r="AI106" s="73">
        <f t="shared" si="45"/>
        <v>0</v>
      </c>
      <c r="AJ106" s="48"/>
      <c r="AK106" s="73">
        <f t="shared" si="46"/>
        <v>0</v>
      </c>
      <c r="AL106" s="48"/>
      <c r="AM106" s="73">
        <f t="shared" si="47"/>
        <v>0</v>
      </c>
      <c r="AN106" s="48"/>
      <c r="AO106" s="73">
        <f t="shared" si="48"/>
        <v>0</v>
      </c>
      <c r="AP106" s="2"/>
      <c r="AQ106" s="48"/>
      <c r="AR106" s="73">
        <f t="shared" si="49"/>
        <v>0</v>
      </c>
      <c r="AS106" s="48"/>
      <c r="AT106" s="73">
        <f t="shared" si="50"/>
        <v>0</v>
      </c>
      <c r="AU106" s="48"/>
      <c r="AV106" s="73">
        <f t="shared" si="51"/>
        <v>0</v>
      </c>
      <c r="AW106" s="48"/>
      <c r="AX106" s="73">
        <f t="shared" si="52"/>
        <v>0</v>
      </c>
      <c r="AZ106" s="48"/>
      <c r="BA106" s="73">
        <f t="shared" si="59"/>
        <v>0</v>
      </c>
      <c r="BB106" s="48"/>
      <c r="BC106" s="73">
        <f t="shared" si="60"/>
        <v>0</v>
      </c>
      <c r="BD106" s="48"/>
      <c r="BE106" s="73">
        <f t="shared" si="61"/>
        <v>0</v>
      </c>
      <c r="BF106" s="48"/>
      <c r="BG106" s="73">
        <f t="shared" si="62"/>
        <v>0</v>
      </c>
      <c r="BI106" s="48"/>
      <c r="BJ106" s="73">
        <f t="shared" si="54"/>
        <v>0</v>
      </c>
      <c r="BK106" s="48"/>
      <c r="BL106" s="73">
        <f t="shared" si="70"/>
        <v>0</v>
      </c>
      <c r="BM106" s="48"/>
      <c r="BN106" s="73">
        <f t="shared" si="64"/>
        <v>0</v>
      </c>
      <c r="BO106" s="48"/>
      <c r="BP106" s="73">
        <f t="shared" si="65"/>
        <v>0</v>
      </c>
      <c r="BR106" s="48"/>
      <c r="BS106" s="73">
        <f t="shared" si="66"/>
        <v>0</v>
      </c>
      <c r="BT106" s="48"/>
      <c r="BU106" s="73">
        <f t="shared" si="67"/>
        <v>0</v>
      </c>
      <c r="BW106" s="48"/>
      <c r="BX106" s="73">
        <f t="shared" si="68"/>
        <v>0</v>
      </c>
      <c r="BZ106" s="48"/>
      <c r="CA106" s="73">
        <f t="shared" si="71"/>
        <v>0</v>
      </c>
    </row>
    <row r="107" spans="1:79" thickBot="1">
      <c r="A107" s="24">
        <v>101</v>
      </c>
      <c r="B107" s="39"/>
      <c r="C107" s="40"/>
      <c r="D107" s="56"/>
      <c r="E107" s="70">
        <f t="shared" si="55"/>
        <v>0</v>
      </c>
      <c r="F107" s="70">
        <f t="shared" si="56"/>
        <v>0</v>
      </c>
      <c r="G107" s="71">
        <f t="shared" si="57"/>
        <v>0</v>
      </c>
      <c r="H107" s="71">
        <f t="shared" si="58"/>
        <v>0</v>
      </c>
      <c r="I107" s="72">
        <f t="shared" si="53"/>
        <v>0</v>
      </c>
      <c r="J107" s="150"/>
      <c r="K107" s="48"/>
      <c r="L107" s="73">
        <f t="shared" si="35"/>
        <v>0</v>
      </c>
      <c r="M107" s="48"/>
      <c r="N107" s="73">
        <f t="shared" si="36"/>
        <v>0</v>
      </c>
      <c r="P107" s="48"/>
      <c r="Q107" s="73">
        <f t="shared" si="37"/>
        <v>0</v>
      </c>
      <c r="R107" s="48"/>
      <c r="S107" s="73">
        <f t="shared" si="38"/>
        <v>0</v>
      </c>
      <c r="T107" s="48"/>
      <c r="U107" s="73">
        <f t="shared" si="39"/>
        <v>0</v>
      </c>
      <c r="V107" s="48"/>
      <c r="W107" s="73">
        <f t="shared" si="40"/>
        <v>0</v>
      </c>
      <c r="Y107" s="48"/>
      <c r="Z107" s="73">
        <f t="shared" si="41"/>
        <v>0</v>
      </c>
      <c r="AA107" s="48"/>
      <c r="AB107" s="73">
        <f t="shared" si="42"/>
        <v>0</v>
      </c>
      <c r="AC107" s="48"/>
      <c r="AD107" s="73">
        <f t="shared" si="43"/>
        <v>0</v>
      </c>
      <c r="AE107" s="48"/>
      <c r="AF107" s="73">
        <f t="shared" si="44"/>
        <v>0</v>
      </c>
      <c r="AG107" s="2"/>
      <c r="AH107" s="48"/>
      <c r="AI107" s="73">
        <f t="shared" si="45"/>
        <v>0</v>
      </c>
      <c r="AJ107" s="48"/>
      <c r="AK107" s="73">
        <f t="shared" si="46"/>
        <v>0</v>
      </c>
      <c r="AL107" s="48"/>
      <c r="AM107" s="73">
        <f t="shared" si="47"/>
        <v>0</v>
      </c>
      <c r="AN107" s="48"/>
      <c r="AO107" s="73">
        <f t="shared" si="48"/>
        <v>0</v>
      </c>
      <c r="AP107" s="2"/>
      <c r="AQ107" s="48"/>
      <c r="AR107" s="73">
        <f t="shared" si="49"/>
        <v>0</v>
      </c>
      <c r="AS107" s="48"/>
      <c r="AT107" s="73">
        <f t="shared" si="50"/>
        <v>0</v>
      </c>
      <c r="AU107" s="48"/>
      <c r="AV107" s="73">
        <f t="shared" si="51"/>
        <v>0</v>
      </c>
      <c r="AW107" s="48"/>
      <c r="AX107" s="73">
        <f t="shared" si="52"/>
        <v>0</v>
      </c>
      <c r="AZ107" s="48"/>
      <c r="BA107" s="73">
        <f t="shared" si="59"/>
        <v>0</v>
      </c>
      <c r="BB107" s="48"/>
      <c r="BC107" s="73">
        <f t="shared" si="60"/>
        <v>0</v>
      </c>
      <c r="BD107" s="48"/>
      <c r="BE107" s="73">
        <f t="shared" si="61"/>
        <v>0</v>
      </c>
      <c r="BF107" s="48"/>
      <c r="BG107" s="73">
        <f t="shared" si="62"/>
        <v>0</v>
      </c>
      <c r="BI107" s="48"/>
      <c r="BJ107" s="73">
        <f t="shared" si="54"/>
        <v>0</v>
      </c>
      <c r="BK107" s="48"/>
      <c r="BL107" s="73">
        <f t="shared" si="70"/>
        <v>0</v>
      </c>
      <c r="BM107" s="48"/>
      <c r="BN107" s="73">
        <f t="shared" si="64"/>
        <v>0</v>
      </c>
      <c r="BO107" s="48"/>
      <c r="BP107" s="73">
        <f t="shared" si="65"/>
        <v>0</v>
      </c>
      <c r="BR107" s="48"/>
      <c r="BS107" s="73">
        <f t="shared" si="66"/>
        <v>0</v>
      </c>
      <c r="BT107" s="48"/>
      <c r="BU107" s="73">
        <f t="shared" si="67"/>
        <v>0</v>
      </c>
      <c r="BW107" s="48"/>
      <c r="BX107" s="73">
        <f t="shared" si="68"/>
        <v>0</v>
      </c>
      <c r="BZ107" s="48"/>
      <c r="CA107" s="73">
        <f t="shared" si="71"/>
        <v>0</v>
      </c>
    </row>
    <row r="108" spans="1:79" thickBot="1">
      <c r="I108" s="18"/>
    </row>
  </sheetData>
  <sheetProtection sheet="1" objects="1" scenarios="1" sort="0" autoFilter="0"/>
  <protectedRanges>
    <protectedRange sqref="K7:K107" name="matchday 1 game 1"/>
    <protectedRange sqref="M7:M107" name="matchday 1 game 2"/>
    <protectedRange sqref="B7:D107" name="Name"/>
    <protectedRange sqref="P7:P107" name="matchday 2 game 1"/>
    <protectedRange sqref="R7:R107" name="matchday 2 game 2"/>
    <protectedRange sqref="T7:T107" name="matchday 2 game 3"/>
    <protectedRange sqref="V7:V107" name="matchday 2 game 4"/>
    <protectedRange sqref="Y7:Y107" name="matchday 3 game 1"/>
    <protectedRange sqref="AA7:AA107" name="matchday 3 game 2"/>
    <protectedRange sqref="AC7:AC107" name="matchday 3 game 3"/>
    <protectedRange sqref="AE7:AE107" name="matchday 3 game 4"/>
    <protectedRange sqref="AH7:AH107" name="matchday 4 game 1"/>
    <protectedRange sqref="AJ7:AJ107" name="matchday 4 game 2"/>
    <protectedRange sqref="AL7:AL107" name="matchday 4 game 3"/>
    <protectedRange sqref="AN7:AN107" name="matchday 4 game 4"/>
    <protectedRange sqref="AQ7:AQ107" name="game 15 feb 1"/>
    <protectedRange sqref="AS7:AS107" name="game 15 feb 2"/>
    <protectedRange sqref="AQ7:AQ107" name="matchday 5 game 1"/>
    <protectedRange sqref="AS7:AS107" name="matchday 5 game 2"/>
    <protectedRange sqref="AU7:AU107" name="matchday 5 game 3"/>
    <protectedRange sqref="AW7:AW107" name="matchday 5 game 4"/>
    <protectedRange sqref="AZ7:AZ107" name="matchday 6 game 1"/>
    <protectedRange sqref="BB7:BB107" name="matchday 6 game 2"/>
    <protectedRange sqref="BD7:BD107" name="matchday 6 game 3"/>
    <protectedRange sqref="BF7:BF107" name="matchday 6 game 4"/>
    <protectedRange sqref="BR7:BR107" name="matchday semi final 1"/>
    <protectedRange sqref="BT7:BT107" name="matchday semi final 2"/>
    <protectedRange sqref="BM7:BM107" name="matchday 7 game 3"/>
    <protectedRange sqref="BO7:BO107" name="matchday 7 game 4"/>
    <protectedRange sqref="BI7:BI107" name="matchday 7 game 1"/>
    <protectedRange sqref="BK7:BK107" name="matchday 7 game 2"/>
    <protectedRange sqref="BW7:BW107" name="matchday the finals 1"/>
    <protectedRange sqref="BZ7:BZ107" name="matchday the finals 22"/>
    <protectedRange sqref="BZ7:BZ107" name="matchday the finals 2222"/>
  </protectedRanges>
  <autoFilter ref="B6:C107" xr:uid="{00000000-0001-0000-0000-000000000000}"/>
  <mergeCells count="96">
    <mergeCell ref="AL6:AM6"/>
    <mergeCell ref="AJ6:AK6"/>
    <mergeCell ref="AH6:AI6"/>
    <mergeCell ref="AE6:AF6"/>
    <mergeCell ref="K6:L6"/>
    <mergeCell ref="V6:W6"/>
    <mergeCell ref="T6:U6"/>
    <mergeCell ref="R6:S6"/>
    <mergeCell ref="P6:Q6"/>
    <mergeCell ref="M6:N6"/>
    <mergeCell ref="BK6:BL6"/>
    <mergeCell ref="BM6:BN6"/>
    <mergeCell ref="BO6:BP6"/>
    <mergeCell ref="AZ6:BA6"/>
    <mergeCell ref="BB6:BC6"/>
    <mergeCell ref="BD6:BE6"/>
    <mergeCell ref="BF6:BG6"/>
    <mergeCell ref="BI1:BP1"/>
    <mergeCell ref="AX3:AX5"/>
    <mergeCell ref="Q3:Q5"/>
    <mergeCell ref="N3:N5"/>
    <mergeCell ref="BA3:BA5"/>
    <mergeCell ref="BC3:BC5"/>
    <mergeCell ref="BE3:BE5"/>
    <mergeCell ref="BG3:BG5"/>
    <mergeCell ref="BJ3:BJ5"/>
    <mergeCell ref="BL3:BL5"/>
    <mergeCell ref="BN3:BN5"/>
    <mergeCell ref="BP3:BP5"/>
    <mergeCell ref="AF3:AF5"/>
    <mergeCell ref="Y2:AB2"/>
    <mergeCell ref="AE2:AF2"/>
    <mergeCell ref="BI2:BJ2"/>
    <mergeCell ref="J7:J107"/>
    <mergeCell ref="J3:J5"/>
    <mergeCell ref="AR3:AR5"/>
    <mergeCell ref="BM2:BN2"/>
    <mergeCell ref="BX3:BX5"/>
    <mergeCell ref="AI3:AI5"/>
    <mergeCell ref="AK3:AK5"/>
    <mergeCell ref="AM3:AM5"/>
    <mergeCell ref="AO3:AO5"/>
    <mergeCell ref="AH2:AK2"/>
    <mergeCell ref="W3:W5"/>
    <mergeCell ref="AN2:AO2"/>
    <mergeCell ref="AL2:AM2"/>
    <mergeCell ref="AQ2:AR2"/>
    <mergeCell ref="AS2:AT2"/>
    <mergeCell ref="AU2:AV2"/>
    <mergeCell ref="A1:I2"/>
    <mergeCell ref="P1:W1"/>
    <mergeCell ref="Y1:AF1"/>
    <mergeCell ref="R2:S2"/>
    <mergeCell ref="T2:W2"/>
    <mergeCell ref="K1:N1"/>
    <mergeCell ref="AC2:AD2"/>
    <mergeCell ref="AB3:AB5"/>
    <mergeCell ref="S3:S5"/>
    <mergeCell ref="U3:U5"/>
    <mergeCell ref="AD3:AD5"/>
    <mergeCell ref="AZ1:BG1"/>
    <mergeCell ref="AZ2:BC2"/>
    <mergeCell ref="AH1:AO1"/>
    <mergeCell ref="AW2:AX2"/>
    <mergeCell ref="AQ1:AX1"/>
    <mergeCell ref="BD2:BE2"/>
    <mergeCell ref="A3:I5"/>
    <mergeCell ref="BO2:BP2"/>
    <mergeCell ref="BK2:BL2"/>
    <mergeCell ref="AC6:AD6"/>
    <mergeCell ref="AA6:AB6"/>
    <mergeCell ref="Y6:Z6"/>
    <mergeCell ref="AU6:AV6"/>
    <mergeCell ref="AW6:AX6"/>
    <mergeCell ref="AS6:AT6"/>
    <mergeCell ref="AQ6:AR6"/>
    <mergeCell ref="AN6:AO6"/>
    <mergeCell ref="BI6:BJ6"/>
    <mergeCell ref="AT3:AT5"/>
    <mergeCell ref="L3:L5"/>
    <mergeCell ref="AV3:AV5"/>
    <mergeCell ref="Z3:Z5"/>
    <mergeCell ref="BZ1:CA1"/>
    <mergeCell ref="BZ2:CA2"/>
    <mergeCell ref="CA3:CA5"/>
    <mergeCell ref="BZ6:CA6"/>
    <mergeCell ref="BR1:BU1"/>
    <mergeCell ref="BT2:BU2"/>
    <mergeCell ref="BU3:BU5"/>
    <mergeCell ref="BT6:BU6"/>
    <mergeCell ref="BW1:BX1"/>
    <mergeCell ref="BW2:BX2"/>
    <mergeCell ref="BW6:BX6"/>
    <mergeCell ref="BR2:BS2"/>
    <mergeCell ref="BS3:BS5"/>
    <mergeCell ref="BR6:BS6"/>
  </mergeCells>
  <phoneticPr fontId="10" type="noConversion"/>
  <conditionalFormatting sqref="E7:E107">
    <cfRule type="colorScale" priority="254">
      <colorScale>
        <cfvo type="min"/>
        <cfvo type="max"/>
        <color rgb="FFFFEF9C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I107">
    <cfRule type="colorScale" priority="256">
      <colorScale>
        <cfvo type="min"/>
        <cfvo type="max"/>
        <color rgb="FFFCFCFF"/>
        <color rgb="FF63BE7B"/>
      </colorScale>
    </cfRule>
    <cfRule type="colorScale" priority="257">
      <colorScale>
        <cfvo type="min"/>
        <cfvo type="max"/>
        <color rgb="FFFCFCFF"/>
        <color rgb="FF63BE7B"/>
      </colorScale>
    </cfRule>
  </conditionalFormatting>
  <conditionalFormatting sqref="I7:I107">
    <cfRule type="colorScale" priority="258">
      <colorScale>
        <cfvo type="min"/>
        <cfvo type="max"/>
        <color rgb="FFFCFCFF"/>
        <color rgb="FF63BE7B"/>
      </colorScale>
    </cfRule>
  </conditionalFormatting>
  <conditionalFormatting sqref="K7:K107">
    <cfRule type="expression" dxfId="25" priority="246">
      <formula>AND(SUBSTITUTE(K7," ","")=$K$6,$K$6&lt;&gt;"")</formula>
    </cfRule>
  </conditionalFormatting>
  <conditionalFormatting sqref="M7:M107">
    <cfRule type="expression" dxfId="24" priority="201">
      <formula>AND(SUBSTITUTE(M7," ","")=$M$6,$M$6&lt;&gt;"")</formula>
    </cfRule>
  </conditionalFormatting>
  <conditionalFormatting sqref="P7:P107">
    <cfRule type="expression" dxfId="23" priority="199">
      <formula>AND(SUBSTITUTE(P7," ","")=$P$6,$P$6&lt;&gt;"")</formula>
    </cfRule>
  </conditionalFormatting>
  <conditionalFormatting sqref="R7:R107">
    <cfRule type="expression" dxfId="22" priority="197">
      <formula>AND(SUBSTITUTE(R7," ","")=$R$6,$R$6&lt;&gt;"")</formula>
    </cfRule>
  </conditionalFormatting>
  <conditionalFormatting sqref="T7:T107">
    <cfRule type="expression" dxfId="21" priority="195">
      <formula>AND(SUBSTITUTE(T7," ","")=$T$6,$T$6&lt;&gt;"")</formula>
    </cfRule>
  </conditionalFormatting>
  <conditionalFormatting sqref="V7:V107">
    <cfRule type="expression" dxfId="20" priority="194">
      <formula>AND(SUBSTITUTE(V7," ","")=$V$6,$V$6&lt;&gt;"")</formula>
    </cfRule>
  </conditionalFormatting>
  <conditionalFormatting sqref="Y7:Y107">
    <cfRule type="expression" dxfId="19" priority="193">
      <formula>AND(SUBSTITUTE(Y7," ","")=$Y$6,$Y$6&lt;&gt;"")</formula>
    </cfRule>
  </conditionalFormatting>
  <conditionalFormatting sqref="AA7:AA107">
    <cfRule type="expression" dxfId="18" priority="192">
      <formula>AND(SUBSTITUTE(AA7," ","")=$AA$6,$AA$6&lt;&gt;"")</formula>
    </cfRule>
  </conditionalFormatting>
  <conditionalFormatting sqref="AC7:AC107">
    <cfRule type="expression" dxfId="17" priority="191">
      <formula>AND(SUBSTITUTE(AC7," ","")=$AC$6,$AC$6&lt;&gt;"")</formula>
    </cfRule>
  </conditionalFormatting>
  <conditionalFormatting sqref="AE7:AE107">
    <cfRule type="expression" dxfId="16" priority="189">
      <formula>AND(SUBSTITUTE(AE7," ","")=$AE$6,$AE$6&lt;&gt;"")</formula>
    </cfRule>
  </conditionalFormatting>
  <conditionalFormatting sqref="AH7:AH107">
    <cfRule type="expression" dxfId="15" priority="187">
      <formula>AND(SUBSTITUTE(AH7," ","")=$AH$6,$AH$6&lt;&gt;"")</formula>
    </cfRule>
  </conditionalFormatting>
  <conditionalFormatting sqref="AJ7:AJ107">
    <cfRule type="expression" dxfId="14" priority="186">
      <formula>AND(SUBSTITUTE(AJ7," ","")=$AJ$6,$AJ$6&lt;&gt;"")</formula>
    </cfRule>
  </conditionalFormatting>
  <conditionalFormatting sqref="AL7:AL107">
    <cfRule type="expression" dxfId="13" priority="185">
      <formula>AND(SUBSTITUTE(AL7," ","")=$AL$6,$AL$6&lt;&gt;"")</formula>
    </cfRule>
  </conditionalFormatting>
  <conditionalFormatting sqref="AN7:AN107">
    <cfRule type="expression" dxfId="12" priority="184">
      <formula>AND(SUBSTITUTE(AN7," ","")=$AN$6,$AN$6&lt;&gt;"")</formula>
    </cfRule>
  </conditionalFormatting>
  <conditionalFormatting sqref="AQ7:AQ107">
    <cfRule type="expression" dxfId="11" priority="183">
      <formula>AND(SUBSTITUTE(AQ7," ","")=$AQ$6,$AQ$6&lt;&gt;"")</formula>
    </cfRule>
  </conditionalFormatting>
  <conditionalFormatting sqref="AS7:AS107">
    <cfRule type="expression" dxfId="10" priority="182">
      <formula>AND(SUBSTITUTE(AS7," ","")=$AS$6,$AS$6&lt;&gt;"")</formula>
    </cfRule>
  </conditionalFormatting>
  <conditionalFormatting sqref="AU7:AU107">
    <cfRule type="expression" dxfId="9" priority="181">
      <formula>AND(SUBSTITUTE(AU7," ","")=$AU$6,$AU$6&lt;&gt;"")</formula>
    </cfRule>
  </conditionalFormatting>
  <conditionalFormatting sqref="AW7:AW107">
    <cfRule type="expression" dxfId="8" priority="180">
      <formula>AND(SUBSTITUTE(AW7," ","")=$AW$6,$AW$6&lt;&gt;"")</formula>
    </cfRule>
  </conditionalFormatting>
  <conditionalFormatting sqref="AZ7:AZ107">
    <cfRule type="expression" dxfId="7" priority="146">
      <formula>AND(SUBSTITUTE(AZ7," ","")=$AZ$6,$AZ$6&lt;&gt;"")</formula>
    </cfRule>
  </conditionalFormatting>
  <conditionalFormatting sqref="BB7:BB107">
    <cfRule type="expression" dxfId="6" priority="145">
      <formula>AND(SUBSTITUTE(BB7," ","")=$BB$6,$BB$6&lt;&gt;"")</formula>
    </cfRule>
  </conditionalFormatting>
  <conditionalFormatting sqref="BD7:BD107">
    <cfRule type="expression" dxfId="5" priority="144">
      <formula>AND(SUBSTITUTE(BD7," ","")=$BD$6,$BD$6&lt;&gt;"")</formula>
    </cfRule>
  </conditionalFormatting>
  <conditionalFormatting sqref="BF7:BF107">
    <cfRule type="expression" dxfId="4" priority="143">
      <formula>AND(SUBSTITUTE(BF7," ","")=$BF$6,$BF$6&lt;&gt;"")</formula>
    </cfRule>
  </conditionalFormatting>
  <conditionalFormatting sqref="BI7:BI107">
    <cfRule type="expression" dxfId="3" priority="142">
      <formula>AND(SUBSTITUTE(BI7," ","")=$BI$6,$BI$6&lt;&gt;"")</formula>
    </cfRule>
  </conditionalFormatting>
  <conditionalFormatting sqref="BK7:BK107">
    <cfRule type="expression" dxfId="2" priority="141">
      <formula>AND(SUBSTITUTE(BK7," ","")=$BK$6,$BK$6&lt;&gt;"")</formula>
    </cfRule>
  </conditionalFormatting>
  <conditionalFormatting sqref="BM7:BM107">
    <cfRule type="expression" dxfId="1" priority="140">
      <formula>AND(SUBSTITUTE(BM7," ","")=$BM$6,$BM$6&lt;&gt;"")</formula>
    </cfRule>
  </conditionalFormatting>
  <conditionalFormatting sqref="BO7:BO107 BR7:BR107 BT7:BT107 BW7:BW107 BZ7:BZ107">
    <cfRule type="expression" dxfId="0" priority="139">
      <formula>AND(SUBSTITUTE(BO7," ","")=$BO$6,$BO$6&lt;&gt;"")</formula>
    </cfRule>
  </conditionalFormatting>
  <hyperlinks>
    <hyperlink ref="C7" r:id="rId1" xr:uid="{A2826650-0BD0-422D-BC42-1A2367C6A0DE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CE38-6EA2-4840-8B80-3997B989DBAB}">
  <dimension ref="A1:I281"/>
  <sheetViews>
    <sheetView workbookViewId="0">
      <pane ySplit="4" topLeftCell="A5" activePane="bottomLeft" state="frozen"/>
      <selection pane="bottomLeft" activeCell="E5" sqref="E5"/>
    </sheetView>
  </sheetViews>
  <sheetFormatPr defaultColWidth="8.85546875" defaultRowHeight="14.45"/>
  <cols>
    <col min="1" max="1" width="5.85546875" customWidth="1"/>
    <col min="2" max="2" width="17.140625" customWidth="1"/>
    <col min="3" max="3" width="16.7109375" customWidth="1"/>
    <col min="5" max="5" width="8.42578125" style="17" customWidth="1"/>
    <col min="6" max="6" width="16.85546875" customWidth="1"/>
    <col min="7" max="7" width="17.42578125" customWidth="1"/>
    <col min="8" max="8" width="18.42578125" customWidth="1"/>
    <col min="9" max="9" width="9.85546875" style="36" customWidth="1"/>
  </cols>
  <sheetData>
    <row r="1" spans="1:9">
      <c r="A1" s="190" t="s">
        <v>80</v>
      </c>
      <c r="B1" s="190"/>
      <c r="C1" s="190"/>
      <c r="D1" s="190"/>
      <c r="E1" s="190"/>
      <c r="F1" s="190"/>
      <c r="G1" s="190"/>
      <c r="H1" s="190"/>
      <c r="I1" s="190"/>
    </row>
    <row r="2" spans="1:9">
      <c r="A2" s="190"/>
      <c r="B2" s="190"/>
      <c r="C2" s="190"/>
      <c r="D2" s="190"/>
      <c r="E2" s="190"/>
      <c r="F2" s="190"/>
      <c r="G2" s="190"/>
      <c r="H2" s="190"/>
      <c r="I2" s="190"/>
    </row>
    <row r="3" spans="1:9">
      <c r="A3" s="190"/>
      <c r="B3" s="190"/>
      <c r="C3" s="190"/>
      <c r="D3" s="190"/>
      <c r="E3" s="190"/>
      <c r="F3" s="190"/>
      <c r="G3" s="190"/>
      <c r="H3" s="190"/>
      <c r="I3" s="190"/>
    </row>
    <row r="4" spans="1:9">
      <c r="A4" s="49" t="s">
        <v>81</v>
      </c>
      <c r="B4" s="50" t="s">
        <v>22</v>
      </c>
      <c r="C4" s="50" t="s">
        <v>23</v>
      </c>
      <c r="D4" s="50" t="s">
        <v>24</v>
      </c>
      <c r="E4" s="50" t="s">
        <v>82</v>
      </c>
      <c r="F4" s="50" t="s">
        <v>83</v>
      </c>
      <c r="G4" s="50" t="s">
        <v>84</v>
      </c>
      <c r="H4" s="50" t="s">
        <v>85</v>
      </c>
      <c r="I4" s="50" t="s">
        <v>8</v>
      </c>
    </row>
    <row r="5" spans="1:9">
      <c r="A5" s="30" t="str">
        <f t="shared" ref="A5:A24" si="0">IF(B5="","",IF(I5=0,"---",RANK(I5,$I$5:$I$164,0)))</f>
        <v>---</v>
      </c>
      <c r="B5" s="33" t="str">
        <f>IF(Sheet1!B7&lt;&gt;"",Sheet1!B7,"")</f>
        <v>Peter Niroda</v>
      </c>
      <c r="C5" s="33" t="str">
        <f>IF(Sheet1!C7&lt;&gt;"",Sheet1!C7,"")</f>
        <v>peter.niroda@sk.ibm.cm</v>
      </c>
      <c r="D5" s="33" t="str">
        <f>IF(Sheet1!D7&lt;&gt;"",Sheet1!D7,"")</f>
        <v>Slovakia</v>
      </c>
      <c r="E5" s="31">
        <f>IF(AND(Sheet1!E7&lt;&gt;"0",B5&lt;&gt;""),Sheet1!E7,"")</f>
        <v>18</v>
      </c>
      <c r="F5" s="31">
        <f>IF(B5&lt;&gt;"",Sheet1!F7,"")</f>
        <v>0</v>
      </c>
      <c r="G5" s="31">
        <f>IF(B5&lt;&gt;"",Sheet1!G7,"")</f>
        <v>0</v>
      </c>
      <c r="H5" s="31">
        <f>IF(C5&lt;&gt;"",Sheet1!H7,"")</f>
        <v>0</v>
      </c>
      <c r="I5" s="30">
        <f>IF(C5&lt;&gt;"",Sheet1!I7,"")</f>
        <v>0</v>
      </c>
    </row>
    <row r="6" spans="1:9">
      <c r="A6" s="30" t="str">
        <f t="shared" si="0"/>
        <v>---</v>
      </c>
      <c r="B6" s="33" t="str">
        <f>IF(Sheet1!B8&lt;&gt;"",Sheet1!B8,"")</f>
        <v>Marek Kramara</v>
      </c>
      <c r="C6" s="33" t="str">
        <f>IF(Sheet1!C8&lt;&gt;"",Sheet1!C8,"")</f>
        <v>marek.kramara@sk.ibm.com</v>
      </c>
      <c r="D6" s="33" t="str">
        <f>IF(Sheet1!D8&lt;&gt;"",Sheet1!D8,"")</f>
        <v>Slovakia</v>
      </c>
      <c r="E6" s="31">
        <f>IF(AND(Sheet1!E8&lt;&gt;"0",B6&lt;&gt;""),Sheet1!E8,"")</f>
        <v>0</v>
      </c>
      <c r="F6" s="31">
        <f>IF(B6&lt;&gt;"",Sheet1!F8,"")</f>
        <v>0</v>
      </c>
      <c r="G6" s="31">
        <f>IF(B6&lt;&gt;"",Sheet1!G8,"")</f>
        <v>0</v>
      </c>
      <c r="H6" s="31">
        <f>IF(C6&lt;&gt;"",Sheet1!H8,"")</f>
        <v>0</v>
      </c>
      <c r="I6" s="30">
        <f>IF(C6&lt;&gt;"",Sheet1!I8,"")</f>
        <v>0</v>
      </c>
    </row>
    <row r="7" spans="1:9">
      <c r="A7" s="30" t="str">
        <f t="shared" si="0"/>
        <v>---</v>
      </c>
      <c r="B7" s="33" t="str">
        <f>IF(Sheet1!B9&lt;&gt;"",Sheet1!B9,"")</f>
        <v>Daniel Stransky</v>
      </c>
      <c r="C7" s="33" t="str">
        <f>IF(Sheet1!C9&lt;&gt;"",Sheet1!C9,"")</f>
        <v>daniel.stransky@ib.com</v>
      </c>
      <c r="D7" s="33" t="str">
        <f>IF(Sheet1!D9&lt;&gt;"",Sheet1!D9,"")</f>
        <v>Slovakia</v>
      </c>
      <c r="E7" s="31">
        <f>IF(AND(Sheet1!E9&lt;&gt;"0",B7&lt;&gt;""),Sheet1!E9,"")</f>
        <v>18</v>
      </c>
      <c r="F7" s="31">
        <f>IF(B7&lt;&gt;"",Sheet1!F9,"")</f>
        <v>0</v>
      </c>
      <c r="G7" s="31">
        <f>IF(B7&lt;&gt;"",Sheet1!G9,"")</f>
        <v>0</v>
      </c>
      <c r="H7" s="31">
        <f>IF(C7&lt;&gt;"",Sheet1!H9,"")</f>
        <v>0</v>
      </c>
      <c r="I7" s="30">
        <f>IF(C7&lt;&gt;"",Sheet1!I9,"")</f>
        <v>0</v>
      </c>
    </row>
    <row r="8" spans="1:9">
      <c r="A8" s="30" t="str">
        <f t="shared" si="0"/>
        <v>---</v>
      </c>
      <c r="B8" s="33" t="str">
        <f>IF(Sheet1!B10&lt;&gt;"",Sheet1!B10,"")</f>
        <v>Peter Juhas</v>
      </c>
      <c r="C8" s="33" t="str">
        <f>IF(Sheet1!C10&lt;&gt;"",Sheet1!C10,"")</f>
        <v>peter.juhas@ibm.com</v>
      </c>
      <c r="D8" s="33" t="str">
        <f>IF(Sheet1!D10&lt;&gt;"",Sheet1!D10,"")</f>
        <v>Slovakia</v>
      </c>
      <c r="E8" s="31">
        <f>IF(AND(Sheet1!E10&lt;&gt;"0",B8&lt;&gt;""),Sheet1!E10,"")</f>
        <v>0</v>
      </c>
      <c r="F8" s="31">
        <f>IF(B8&lt;&gt;"",Sheet1!F10,"")</f>
        <v>0</v>
      </c>
      <c r="G8" s="31">
        <f>IF(B8&lt;&gt;"",Sheet1!G10,"")</f>
        <v>0</v>
      </c>
      <c r="H8" s="31">
        <f>IF(C8&lt;&gt;"",Sheet1!H10,"")</f>
        <v>0</v>
      </c>
      <c r="I8" s="30">
        <f>IF(C8&lt;&gt;"",Sheet1!I10,"")</f>
        <v>0</v>
      </c>
    </row>
    <row r="9" spans="1:9">
      <c r="A9" s="30" t="str">
        <f t="shared" si="0"/>
        <v>---</v>
      </c>
      <c r="B9" s="33" t="str">
        <f>IF(Sheet1!B11&lt;&gt;"",Sheet1!B11,"")</f>
        <v>Tomas Uhrin</v>
      </c>
      <c r="C9" s="33" t="str">
        <f>IF(Sheet1!C11&lt;&gt;"",Sheet1!C11,"")</f>
        <v>TomasUhrin1@sk.ibm.com</v>
      </c>
      <c r="D9" s="33" t="str">
        <f>IF(Sheet1!D11&lt;&gt;"",Sheet1!D11,"")</f>
        <v>Slovakia</v>
      </c>
      <c r="E9" s="31">
        <f>IF(AND(Sheet1!E11&lt;&gt;"0",B9&lt;&gt;""),Sheet1!E11,"")</f>
        <v>3</v>
      </c>
      <c r="F9" s="31">
        <f>IF(B9&lt;&gt;"",Sheet1!F11,"")</f>
        <v>0</v>
      </c>
      <c r="G9" s="31">
        <f>IF(B9&lt;&gt;"",Sheet1!G11,"")</f>
        <v>0</v>
      </c>
      <c r="H9" s="31">
        <f>IF(C9&lt;&gt;"",Sheet1!H11,"")</f>
        <v>0</v>
      </c>
      <c r="I9" s="30">
        <f>IF(C9&lt;&gt;"",Sheet1!I11,"")</f>
        <v>0</v>
      </c>
    </row>
    <row r="10" spans="1:9">
      <c r="A10" s="30" t="str">
        <f t="shared" si="0"/>
        <v>---</v>
      </c>
      <c r="B10" s="33" t="str">
        <f>IF(Sheet1!B12&lt;&gt;"",Sheet1!B12,"")</f>
        <v>Filip Oscipovsky</v>
      </c>
      <c r="C10" s="33" t="str">
        <f>IF(Sheet1!C12&lt;&gt;"",Sheet1!C12,"")</f>
        <v>filip.oscipovsky@sk.ibm.com</v>
      </c>
      <c r="D10" s="33" t="str">
        <f>IF(Sheet1!D12&lt;&gt;"",Sheet1!D12,"")</f>
        <v>Slovakia</v>
      </c>
      <c r="E10" s="31">
        <f>IF(AND(Sheet1!E12&lt;&gt;"0",B10&lt;&gt;""),Sheet1!E12,"")</f>
        <v>18</v>
      </c>
      <c r="F10" s="31">
        <f>IF(B10&lt;&gt;"",Sheet1!F12,"")</f>
        <v>0</v>
      </c>
      <c r="G10" s="31">
        <f>IF(B10&lt;&gt;"",Sheet1!G12,"")</f>
        <v>0</v>
      </c>
      <c r="H10" s="31">
        <f>IF(C10&lt;&gt;"",Sheet1!H12,"")</f>
        <v>0</v>
      </c>
      <c r="I10" s="30">
        <f>IF(C10&lt;&gt;"",Sheet1!I12,"")</f>
        <v>0</v>
      </c>
    </row>
    <row r="11" spans="1:9">
      <c r="A11" s="30" t="str">
        <f t="shared" si="0"/>
        <v>---</v>
      </c>
      <c r="B11" s="33" t="str">
        <f>IF(Sheet1!B13&lt;&gt;"",Sheet1!B13,"")</f>
        <v>Petra Jankurová</v>
      </c>
      <c r="C11" s="33" t="str">
        <f>IF(Sheet1!C13&lt;&gt;"",Sheet1!C13,"")</f>
        <v>petra.jankurova@ibm.com</v>
      </c>
      <c r="D11" s="33" t="str">
        <f>IF(Sheet1!D13&lt;&gt;"",Sheet1!D13,"")</f>
        <v>Slovakia</v>
      </c>
      <c r="E11" s="31">
        <f>IF(AND(Sheet1!E13&lt;&gt;"0",B11&lt;&gt;""),Sheet1!E13,"")</f>
        <v>0</v>
      </c>
      <c r="F11" s="31">
        <f>IF(B11&lt;&gt;"",Sheet1!F13,"")</f>
        <v>0</v>
      </c>
      <c r="G11" s="31">
        <f>IF(B11&lt;&gt;"",Sheet1!G13,"")</f>
        <v>0</v>
      </c>
      <c r="H11" s="31">
        <f>IF(C11&lt;&gt;"",Sheet1!H13,"")</f>
        <v>0</v>
      </c>
      <c r="I11" s="30">
        <f>IF(C11&lt;&gt;"",Sheet1!I13,"")</f>
        <v>0</v>
      </c>
    </row>
    <row r="12" spans="1:9">
      <c r="A12" s="30" t="str">
        <f t="shared" si="0"/>
        <v>---</v>
      </c>
      <c r="B12" s="33" t="str">
        <f>IF(Sheet1!B14&lt;&gt;"",Sheet1!B14,"")</f>
        <v>Martin Kopka</v>
      </c>
      <c r="C12" s="33" t="str">
        <f>IF(Sheet1!C14&lt;&gt;"",Sheet1!C14,"")</f>
        <v>martin.kopka1@ibm.com</v>
      </c>
      <c r="D12" s="33" t="str">
        <f>IF(Sheet1!D14&lt;&gt;"",Sheet1!D14,"")</f>
        <v>Slovakia</v>
      </c>
      <c r="E12" s="31">
        <f>IF(AND(Sheet1!E14&lt;&gt;"0",B12&lt;&gt;""),Sheet1!E14,"")</f>
        <v>18</v>
      </c>
      <c r="F12" s="31">
        <f>IF(B12&lt;&gt;"",Sheet1!F14,"")</f>
        <v>0</v>
      </c>
      <c r="G12" s="31">
        <f>IF(B12&lt;&gt;"",Sheet1!G14,"")</f>
        <v>0</v>
      </c>
      <c r="H12" s="31">
        <f>IF(C12&lt;&gt;"",Sheet1!H14,"")</f>
        <v>0</v>
      </c>
      <c r="I12" s="30">
        <f>IF(C12&lt;&gt;"",Sheet1!I14,"")</f>
        <v>0</v>
      </c>
    </row>
    <row r="13" spans="1:9">
      <c r="A13" s="30" t="str">
        <f t="shared" si="0"/>
        <v>---</v>
      </c>
      <c r="B13" s="33" t="str">
        <f>IF(Sheet1!B15&lt;&gt;"",Sheet1!B15,"")</f>
        <v>Andrej Galad</v>
      </c>
      <c r="C13" s="33" t="str">
        <f>IF(Sheet1!C15&lt;&gt;"",Sheet1!C15,"")</f>
        <v>andrej.galad@ibm.com</v>
      </c>
      <c r="D13" s="33" t="str">
        <f>IF(Sheet1!D15&lt;&gt;"",Sheet1!D15,"")</f>
        <v>Slovakia</v>
      </c>
      <c r="E13" s="31">
        <f>IF(AND(Sheet1!E15&lt;&gt;"0",B13&lt;&gt;""),Sheet1!E15,"")</f>
        <v>9</v>
      </c>
      <c r="F13" s="31">
        <f>IF(B13&lt;&gt;"",Sheet1!F15,"")</f>
        <v>0</v>
      </c>
      <c r="G13" s="31">
        <f>IF(B13&lt;&gt;"",Sheet1!G15,"")</f>
        <v>0</v>
      </c>
      <c r="H13" s="31">
        <f>IF(C13&lt;&gt;"",Sheet1!H15,"")</f>
        <v>0</v>
      </c>
      <c r="I13" s="30">
        <f>IF(C13&lt;&gt;"",Sheet1!I15,"")</f>
        <v>0</v>
      </c>
    </row>
    <row r="14" spans="1:9">
      <c r="A14" s="30" t="str">
        <f t="shared" si="0"/>
        <v/>
      </c>
      <c r="B14" s="33" t="str">
        <f>IF(Sheet1!B16&lt;&gt;"",Sheet1!B16,"")</f>
        <v/>
      </c>
      <c r="C14" s="33" t="str">
        <f>IF(Sheet1!C16&lt;&gt;"",Sheet1!C16,"")</f>
        <v/>
      </c>
      <c r="D14" s="33" t="str">
        <f>IF(Sheet1!D16&lt;&gt;"",Sheet1!D16,"")</f>
        <v/>
      </c>
      <c r="E14" s="31" t="str">
        <f>IF(AND(Sheet1!E16&lt;&gt;"0",B14&lt;&gt;""),Sheet1!E16,"")</f>
        <v/>
      </c>
      <c r="F14" s="31" t="str">
        <f>IF(B14&lt;&gt;"",Sheet1!F16,"")</f>
        <v/>
      </c>
      <c r="G14" s="31" t="str">
        <f>IF(B14&lt;&gt;"",Sheet1!G16,"")</f>
        <v/>
      </c>
      <c r="H14" s="31" t="str">
        <f>IF(C14&lt;&gt;"",Sheet1!H16,"")</f>
        <v/>
      </c>
      <c r="I14" s="30" t="str">
        <f>IF(C14&lt;&gt;"",Sheet1!I16,"")</f>
        <v/>
      </c>
    </row>
    <row r="15" spans="1:9">
      <c r="A15" s="30" t="str">
        <f t="shared" si="0"/>
        <v/>
      </c>
      <c r="B15" s="33" t="str">
        <f>IF(Sheet1!B17&lt;&gt;"",Sheet1!B17,"")</f>
        <v/>
      </c>
      <c r="C15" s="33" t="str">
        <f>IF(Sheet1!C17&lt;&gt;"",Sheet1!C17,"")</f>
        <v/>
      </c>
      <c r="D15" s="33" t="str">
        <f>IF(Sheet1!D17&lt;&gt;"",Sheet1!D17,"")</f>
        <v/>
      </c>
      <c r="E15" s="31" t="str">
        <f>IF(AND(Sheet1!E17&lt;&gt;"0",B15&lt;&gt;""),Sheet1!E17,"")</f>
        <v/>
      </c>
      <c r="F15" s="31" t="str">
        <f>IF(B15&lt;&gt;"",Sheet1!F17,"")</f>
        <v/>
      </c>
      <c r="G15" s="31" t="str">
        <f>IF(B15&lt;&gt;"",Sheet1!G17,"")</f>
        <v/>
      </c>
      <c r="H15" s="31" t="str">
        <f>IF(C15&lt;&gt;"",Sheet1!H17,"")</f>
        <v/>
      </c>
      <c r="I15" s="30" t="str">
        <f>IF(C15&lt;&gt;"",Sheet1!I17,"")</f>
        <v/>
      </c>
    </row>
    <row r="16" spans="1:9">
      <c r="A16" s="30" t="str">
        <f t="shared" si="0"/>
        <v/>
      </c>
      <c r="B16" s="33" t="str">
        <f>IF(Sheet1!B18&lt;&gt;"",Sheet1!B18,"")</f>
        <v/>
      </c>
      <c r="C16" s="33" t="str">
        <f>IF(Sheet1!C18&lt;&gt;"",Sheet1!C18,"")</f>
        <v/>
      </c>
      <c r="D16" s="33" t="str">
        <f>IF(Sheet1!D18&lt;&gt;"",Sheet1!D18,"")</f>
        <v/>
      </c>
      <c r="E16" s="31" t="str">
        <f>IF(AND(Sheet1!E18&lt;&gt;"0",B16&lt;&gt;""),Sheet1!E18,"")</f>
        <v/>
      </c>
      <c r="F16" s="31" t="str">
        <f>IF(B16&lt;&gt;"",Sheet1!F18,"")</f>
        <v/>
      </c>
      <c r="G16" s="31" t="str">
        <f>IF(B16&lt;&gt;"",Sheet1!G18,"")</f>
        <v/>
      </c>
      <c r="H16" s="31" t="str">
        <f>IF(C16&lt;&gt;"",Sheet1!H18,"")</f>
        <v/>
      </c>
      <c r="I16" s="30" t="str">
        <f>IF(C16&lt;&gt;"",Sheet1!I18,"")</f>
        <v/>
      </c>
    </row>
    <row r="17" spans="1:9">
      <c r="A17" s="30" t="str">
        <f t="shared" si="0"/>
        <v/>
      </c>
      <c r="B17" s="33" t="str">
        <f>IF(Sheet1!B19&lt;&gt;"",Sheet1!B19,"")</f>
        <v/>
      </c>
      <c r="C17" s="33" t="str">
        <f>IF(Sheet1!C19&lt;&gt;"",Sheet1!C19,"")</f>
        <v/>
      </c>
      <c r="D17" s="33" t="str">
        <f>IF(Sheet1!D19&lt;&gt;"",Sheet1!D19,"")</f>
        <v/>
      </c>
      <c r="E17" s="31" t="str">
        <f>IF(AND(Sheet1!E19&lt;&gt;"0",B17&lt;&gt;""),Sheet1!E19,"")</f>
        <v/>
      </c>
      <c r="F17" s="31" t="str">
        <f>IF(B17&lt;&gt;"",Sheet1!F19,"")</f>
        <v/>
      </c>
      <c r="G17" s="31" t="str">
        <f>IF(B17&lt;&gt;"",Sheet1!G19,"")</f>
        <v/>
      </c>
      <c r="H17" s="31" t="str">
        <f>IF(C17&lt;&gt;"",Sheet1!H19,"")</f>
        <v/>
      </c>
      <c r="I17" s="30" t="str">
        <f>IF(C17&lt;&gt;"",Sheet1!I19,"")</f>
        <v/>
      </c>
    </row>
    <row r="18" spans="1:9">
      <c r="A18" s="30" t="str">
        <f t="shared" si="0"/>
        <v/>
      </c>
      <c r="B18" s="33" t="str">
        <f>IF(Sheet1!B20&lt;&gt;"",Sheet1!B20,"")</f>
        <v/>
      </c>
      <c r="C18" s="33" t="str">
        <f>IF(Sheet1!C20&lt;&gt;"",Sheet1!C20,"")</f>
        <v/>
      </c>
      <c r="D18" s="33" t="str">
        <f>IF(Sheet1!D20&lt;&gt;"",Sheet1!D20,"")</f>
        <v/>
      </c>
      <c r="E18" s="31" t="str">
        <f>IF(AND(Sheet1!E20&lt;&gt;"0",B18&lt;&gt;""),Sheet1!E20,"")</f>
        <v/>
      </c>
      <c r="F18" s="31" t="str">
        <f>IF(B18&lt;&gt;"",Sheet1!F20,"")</f>
        <v/>
      </c>
      <c r="G18" s="31" t="str">
        <f>IF(B18&lt;&gt;"",Sheet1!G20,"")</f>
        <v/>
      </c>
      <c r="H18" s="31" t="str">
        <f>IF(C18&lt;&gt;"",Sheet1!H20,"")</f>
        <v/>
      </c>
      <c r="I18" s="30" t="str">
        <f>IF(C18&lt;&gt;"",Sheet1!I20,"")</f>
        <v/>
      </c>
    </row>
    <row r="19" spans="1:9">
      <c r="A19" s="30" t="str">
        <f t="shared" si="0"/>
        <v/>
      </c>
      <c r="B19" s="33" t="str">
        <f>IF(Sheet1!B21&lt;&gt;"",Sheet1!B21,"")</f>
        <v/>
      </c>
      <c r="C19" s="33" t="str">
        <f>IF(Sheet1!C21&lt;&gt;"",Sheet1!C21,"")</f>
        <v/>
      </c>
      <c r="D19" s="33" t="str">
        <f>IF(Sheet1!D21&lt;&gt;"",Sheet1!D21,"")</f>
        <v/>
      </c>
      <c r="E19" s="31" t="str">
        <f>IF(AND(Sheet1!E21&lt;&gt;"0",B19&lt;&gt;""),Sheet1!E21,"")</f>
        <v/>
      </c>
      <c r="F19" s="31" t="str">
        <f>IF(B19&lt;&gt;"",Sheet1!F21,"")</f>
        <v/>
      </c>
      <c r="G19" s="31" t="str">
        <f>IF(B19&lt;&gt;"",Sheet1!G21,"")</f>
        <v/>
      </c>
      <c r="H19" s="31" t="str">
        <f>IF(C19&lt;&gt;"",Sheet1!H21,"")</f>
        <v/>
      </c>
      <c r="I19" s="30" t="str">
        <f>IF(C19&lt;&gt;"",Sheet1!I21,"")</f>
        <v/>
      </c>
    </row>
    <row r="20" spans="1:9">
      <c r="A20" s="30" t="str">
        <f t="shared" si="0"/>
        <v/>
      </c>
      <c r="B20" s="33" t="str">
        <f>IF(Sheet1!B22&lt;&gt;"",Sheet1!B22,"")</f>
        <v/>
      </c>
      <c r="C20" s="33" t="str">
        <f>IF(Sheet1!C22&lt;&gt;"",Sheet1!C22,"")</f>
        <v/>
      </c>
      <c r="D20" s="33" t="str">
        <f>IF(Sheet1!D22&lt;&gt;"",Sheet1!D22,"")</f>
        <v/>
      </c>
      <c r="E20" s="31" t="str">
        <f>IF(AND(Sheet1!E22&lt;&gt;"0",B20&lt;&gt;""),Sheet1!E22,"")</f>
        <v/>
      </c>
      <c r="F20" s="31" t="str">
        <f>IF(B20&lt;&gt;"",Sheet1!F22,"")</f>
        <v/>
      </c>
      <c r="G20" s="31" t="str">
        <f>IF(B20&lt;&gt;"",Sheet1!G22,"")</f>
        <v/>
      </c>
      <c r="H20" s="31" t="str">
        <f>IF(C20&lt;&gt;"",Sheet1!H22,"")</f>
        <v/>
      </c>
      <c r="I20" s="30" t="str">
        <f>IF(C20&lt;&gt;"",Sheet1!I22,"")</f>
        <v/>
      </c>
    </row>
    <row r="21" spans="1:9">
      <c r="A21" s="30" t="str">
        <f t="shared" si="0"/>
        <v/>
      </c>
      <c r="B21" s="33" t="str">
        <f>IF(Sheet1!B23&lt;&gt;"",Sheet1!B23,"")</f>
        <v/>
      </c>
      <c r="C21" s="33" t="str">
        <f>IF(Sheet1!C23&lt;&gt;"",Sheet1!C23,"")</f>
        <v/>
      </c>
      <c r="D21" s="33" t="str">
        <f>IF(Sheet1!D23&lt;&gt;"",Sheet1!D23,"")</f>
        <v/>
      </c>
      <c r="E21" s="31" t="str">
        <f>IF(AND(Sheet1!E23&lt;&gt;"0",B21&lt;&gt;""),Sheet1!E23,"")</f>
        <v/>
      </c>
      <c r="F21" s="31" t="str">
        <f>IF(B21&lt;&gt;"",Sheet1!F23,"")</f>
        <v/>
      </c>
      <c r="G21" s="31" t="str">
        <f>IF(B21&lt;&gt;"",Sheet1!G23,"")</f>
        <v/>
      </c>
      <c r="H21" s="31" t="str">
        <f>IF(C21&lt;&gt;"",Sheet1!H23,"")</f>
        <v/>
      </c>
      <c r="I21" s="30" t="str">
        <f>IF(C21&lt;&gt;"",Sheet1!I23,"")</f>
        <v/>
      </c>
    </row>
    <row r="22" spans="1:9">
      <c r="A22" s="30" t="str">
        <f t="shared" si="0"/>
        <v/>
      </c>
      <c r="B22" s="33" t="str">
        <f>IF(Sheet1!B24&lt;&gt;"",Sheet1!B24,"")</f>
        <v/>
      </c>
      <c r="C22" s="33" t="str">
        <f>IF(Sheet1!C24&lt;&gt;"",Sheet1!C24,"")</f>
        <v/>
      </c>
      <c r="D22" s="33" t="str">
        <f>IF(Sheet1!D24&lt;&gt;"",Sheet1!D24,"")</f>
        <v/>
      </c>
      <c r="E22" s="31" t="str">
        <f>IF(AND(Sheet1!E24&lt;&gt;"0",B22&lt;&gt;""),Sheet1!E24,"")</f>
        <v/>
      </c>
      <c r="F22" s="31" t="str">
        <f>IF(B22&lt;&gt;"",Sheet1!F24,"")</f>
        <v/>
      </c>
      <c r="G22" s="31" t="str">
        <f>IF(B22&lt;&gt;"",Sheet1!G24,"")</f>
        <v/>
      </c>
      <c r="H22" s="31" t="str">
        <f>IF(C22&lt;&gt;"",Sheet1!H24,"")</f>
        <v/>
      </c>
      <c r="I22" s="30" t="str">
        <f>IF(C22&lt;&gt;"",Sheet1!I24,"")</f>
        <v/>
      </c>
    </row>
    <row r="23" spans="1:9">
      <c r="A23" s="30" t="str">
        <f t="shared" si="0"/>
        <v/>
      </c>
      <c r="B23" s="33" t="str">
        <f>IF(Sheet1!B25&lt;&gt;"",Sheet1!B25,"")</f>
        <v/>
      </c>
      <c r="C23" s="33" t="str">
        <f>IF(Sheet1!C25&lt;&gt;"",Sheet1!C25,"")</f>
        <v/>
      </c>
      <c r="D23" s="33" t="str">
        <f>IF(Sheet1!D25&lt;&gt;"",Sheet1!D25,"")</f>
        <v/>
      </c>
      <c r="E23" s="31" t="str">
        <f>IF(AND(Sheet1!E25&lt;&gt;"0",B23&lt;&gt;""),Sheet1!E25,"")</f>
        <v/>
      </c>
      <c r="F23" s="31" t="str">
        <f>IF(B23&lt;&gt;"",Sheet1!F25,"")</f>
        <v/>
      </c>
      <c r="G23" s="31" t="str">
        <f>IF(B23&lt;&gt;"",Sheet1!G25,"")</f>
        <v/>
      </c>
      <c r="H23" s="31" t="str">
        <f>IF(C23&lt;&gt;"",Sheet1!H25,"")</f>
        <v/>
      </c>
      <c r="I23" s="30" t="str">
        <f>IF(C23&lt;&gt;"",Sheet1!I25,"")</f>
        <v/>
      </c>
    </row>
    <row r="24" spans="1:9">
      <c r="A24" s="30" t="str">
        <f t="shared" si="0"/>
        <v/>
      </c>
      <c r="B24" s="33" t="str">
        <f>IF(Sheet1!B26&lt;&gt;"",Sheet1!B26,"")</f>
        <v/>
      </c>
      <c r="C24" s="33" t="str">
        <f>IF(Sheet1!C26&lt;&gt;"",Sheet1!C26,"")</f>
        <v/>
      </c>
      <c r="D24" s="33" t="str">
        <f>IF(Sheet1!D26&lt;&gt;"",Sheet1!D26,"")</f>
        <v/>
      </c>
      <c r="E24" s="31" t="str">
        <f>IF(AND(Sheet1!E26&lt;&gt;"0",B24&lt;&gt;""),Sheet1!E26,"")</f>
        <v/>
      </c>
      <c r="F24" s="31" t="str">
        <f>IF(B24&lt;&gt;"",Sheet1!F26,"")</f>
        <v/>
      </c>
      <c r="G24" s="31" t="str">
        <f>IF(B24&lt;&gt;"",Sheet1!G26,"")</f>
        <v/>
      </c>
      <c r="H24" s="31" t="str">
        <f>IF(C24&lt;&gt;"",Sheet1!H26,"")</f>
        <v/>
      </c>
      <c r="I24" s="30" t="str">
        <f>IF(C24&lt;&gt;"",Sheet1!I26,"")</f>
        <v/>
      </c>
    </row>
    <row r="25" spans="1:9">
      <c r="A25" s="30"/>
      <c r="B25" s="33"/>
      <c r="C25" s="33"/>
      <c r="D25" s="33" t="str">
        <f>IF(Sheet1!D27&lt;&gt;"",Sheet1!D27,"")</f>
        <v/>
      </c>
      <c r="E25" s="31" t="str">
        <f>IF(AND(Sheet1!E27&lt;&gt;"0",B25&lt;&gt;""),Sheet1!E27,"")</f>
        <v/>
      </c>
      <c r="F25" s="31" t="str">
        <f>IF(B25&lt;&gt;"",Sheet1!F27,"")</f>
        <v/>
      </c>
      <c r="G25" s="31" t="str">
        <f>IF(B25&lt;&gt;"",Sheet1!G27,"")</f>
        <v/>
      </c>
      <c r="H25" s="31" t="str">
        <f>IF(C25&lt;&gt;"",Sheet1!H27,"")</f>
        <v/>
      </c>
      <c r="I25" s="30" t="str">
        <f>IF(C25&lt;&gt;"",Sheet1!I27,"")</f>
        <v/>
      </c>
    </row>
    <row r="26" spans="1:9">
      <c r="A26" s="30" t="str">
        <f t="shared" ref="A26:A57" si="1">IF(B26="","",IF(I26=0,"---",RANK(I26,$I$5:$I$164,0)))</f>
        <v/>
      </c>
      <c r="B26" s="33" t="str">
        <f>IF(Sheet1!B25&lt;&gt;"",Sheet1!B25,"")</f>
        <v/>
      </c>
      <c r="C26" s="33" t="str">
        <f>IF(Sheet1!C25&lt;&gt;"",Sheet1!C25,"")</f>
        <v/>
      </c>
      <c r="D26" s="33" t="str">
        <f>IF(Sheet1!D28&lt;&gt;"",Sheet1!D28,"")</f>
        <v/>
      </c>
      <c r="E26" s="31" t="str">
        <f>IF(Sheet1!E28&lt;&gt;0,Sheet1!E28,"")</f>
        <v/>
      </c>
      <c r="F26" s="31" t="str">
        <f>IF(B26&lt;&gt;"",Sheet1!F28,"")</f>
        <v/>
      </c>
      <c r="G26" s="31" t="str">
        <f>IF(B26&lt;&gt;"",Sheet1!G28,"")</f>
        <v/>
      </c>
      <c r="H26" s="31" t="str">
        <f>IF(C26&lt;&gt;"",Sheet1!H28,"")</f>
        <v/>
      </c>
      <c r="I26" s="30" t="str">
        <f>IF(C26&lt;&gt;"",Sheet1!I28,"")</f>
        <v/>
      </c>
    </row>
    <row r="27" spans="1:9">
      <c r="A27" s="30" t="str">
        <f t="shared" si="1"/>
        <v/>
      </c>
      <c r="B27" s="33" t="str">
        <f>IF(Sheet1!B30&lt;&gt;"",Sheet1!B30,"")</f>
        <v/>
      </c>
      <c r="C27" s="33" t="str">
        <f>IF(Sheet1!C30&lt;&gt;"",Sheet1!C30,"")</f>
        <v/>
      </c>
      <c r="D27" s="33" t="str">
        <f>IF(Sheet1!D29&lt;&gt;"",Sheet1!D29,"")</f>
        <v/>
      </c>
      <c r="E27" s="31" t="str">
        <f>IF(Sheet1!E29&lt;&gt;0,Sheet1!E29,"")</f>
        <v/>
      </c>
      <c r="F27" s="31" t="str">
        <f>IF(B27&lt;&gt;"",Sheet1!F29,"")</f>
        <v/>
      </c>
      <c r="G27" s="31" t="str">
        <f>IF(B27&lt;&gt;"",Sheet1!G29,"")</f>
        <v/>
      </c>
      <c r="H27" s="31" t="str">
        <f>IF(C27&lt;&gt;"",Sheet1!H29,"")</f>
        <v/>
      </c>
      <c r="I27" s="30" t="str">
        <f>IF(C27&lt;&gt;"",Sheet1!I29,"")</f>
        <v/>
      </c>
    </row>
    <row r="28" spans="1:9">
      <c r="A28" s="30" t="str">
        <f t="shared" si="1"/>
        <v/>
      </c>
      <c r="B28" s="33" t="str">
        <f>IF(Sheet1!B40&lt;&gt;"",Sheet1!B40,"")</f>
        <v/>
      </c>
      <c r="C28" s="33" t="str">
        <f>IF(Sheet1!C40&lt;&gt;"",Sheet1!C40,"")</f>
        <v/>
      </c>
      <c r="D28" s="33" t="str">
        <f>IF(Sheet1!D30&lt;&gt;"",Sheet1!D30,"")</f>
        <v/>
      </c>
      <c r="E28" s="31" t="str">
        <f>IF(Sheet1!E30&lt;&gt;0,Sheet1!E30,"")</f>
        <v/>
      </c>
      <c r="F28" s="31" t="str">
        <f>IF(B28&lt;&gt;"",Sheet1!F30,"")</f>
        <v/>
      </c>
      <c r="G28" s="31" t="str">
        <f>IF(B28&lt;&gt;"",Sheet1!G30,"")</f>
        <v/>
      </c>
      <c r="H28" s="31" t="str">
        <f>IF(C28&lt;&gt;"",Sheet1!H30,"")</f>
        <v/>
      </c>
      <c r="I28" s="30" t="str">
        <f>IF(C28&lt;&gt;"",Sheet1!I30,"")</f>
        <v/>
      </c>
    </row>
    <row r="29" spans="1:9">
      <c r="A29" s="30" t="str">
        <f t="shared" si="1"/>
        <v/>
      </c>
      <c r="B29" s="33" t="str">
        <f>IF(Sheet1!B19&lt;&gt;"",Sheet1!B19,"")</f>
        <v/>
      </c>
      <c r="C29" s="33" t="str">
        <f>IF(Sheet1!C19&lt;&gt;"",Sheet1!C19,"")</f>
        <v/>
      </c>
      <c r="D29" s="33" t="str">
        <f>IF(Sheet1!D31&lt;&gt;"",Sheet1!D31,"")</f>
        <v/>
      </c>
      <c r="E29" s="31" t="str">
        <f>IF(Sheet1!E31&lt;&gt;0,Sheet1!E31,"")</f>
        <v/>
      </c>
      <c r="F29" s="31" t="str">
        <f>IF(B29&lt;&gt;"",Sheet1!F31,"")</f>
        <v/>
      </c>
      <c r="G29" s="31" t="str">
        <f>IF(B29&lt;&gt;"",Sheet1!G31,"")</f>
        <v/>
      </c>
      <c r="H29" s="31" t="str">
        <f>IF(C29&lt;&gt;"",Sheet1!H31,"")</f>
        <v/>
      </c>
      <c r="I29" s="30" t="str">
        <f>IF(C29&lt;&gt;"",Sheet1!I31,"")</f>
        <v/>
      </c>
    </row>
    <row r="30" spans="1:9">
      <c r="A30" s="30" t="str">
        <f t="shared" si="1"/>
        <v/>
      </c>
      <c r="B30" s="33" t="str">
        <f>IF(Sheet1!B36&lt;&gt;"",Sheet1!B36,"")</f>
        <v/>
      </c>
      <c r="C30" s="33" t="str">
        <f>IF(Sheet1!C36&lt;&gt;"",Sheet1!C36,"")</f>
        <v/>
      </c>
      <c r="D30" s="33" t="str">
        <f>IF(Sheet1!D32&lt;&gt;"",Sheet1!D32,"")</f>
        <v/>
      </c>
      <c r="E30" s="31" t="str">
        <f>IF(Sheet1!E32&lt;&gt;0,Sheet1!E32,"")</f>
        <v/>
      </c>
      <c r="F30" s="31" t="str">
        <f>IF(B30&lt;&gt;"",Sheet1!F32,"")</f>
        <v/>
      </c>
      <c r="G30" s="31" t="str">
        <f>IF(B30&lt;&gt;"",Sheet1!G32,"")</f>
        <v/>
      </c>
      <c r="H30" s="31" t="str">
        <f>IF(C30&lt;&gt;"",Sheet1!H32,"")</f>
        <v/>
      </c>
      <c r="I30" s="30" t="str">
        <f>IF(C30&lt;&gt;"",Sheet1!I32,"")</f>
        <v/>
      </c>
    </row>
    <row r="31" spans="1:9">
      <c r="A31" s="30" t="str">
        <f t="shared" si="1"/>
        <v/>
      </c>
      <c r="B31" s="33" t="str">
        <f>IF(Sheet1!B21&lt;&gt;"",Sheet1!B21,"")</f>
        <v/>
      </c>
      <c r="C31" s="33" t="str">
        <f>IF(Sheet1!C21&lt;&gt;"",Sheet1!C21,"")</f>
        <v/>
      </c>
      <c r="D31" s="33" t="str">
        <f>IF(Sheet1!D33&lt;&gt;"",Sheet1!D33,"")</f>
        <v/>
      </c>
      <c r="E31" s="31" t="str">
        <f>IF(Sheet1!E33&lt;&gt;0,Sheet1!E33,"")</f>
        <v/>
      </c>
      <c r="F31" s="31" t="str">
        <f>IF(B31&lt;&gt;"",Sheet1!F33,"")</f>
        <v/>
      </c>
      <c r="G31" s="31" t="str">
        <f>IF(B31&lt;&gt;"",Sheet1!G33,"")</f>
        <v/>
      </c>
      <c r="H31" s="31" t="str">
        <f>IF(C31&lt;&gt;"",Sheet1!H33,"")</f>
        <v/>
      </c>
      <c r="I31" s="30" t="str">
        <f>IF(C31&lt;&gt;"",Sheet1!I33,"")</f>
        <v/>
      </c>
    </row>
    <row r="32" spans="1:9">
      <c r="A32" s="30" t="str">
        <f t="shared" si="1"/>
        <v/>
      </c>
      <c r="B32" s="33" t="str">
        <f>IF(Sheet1!B42&lt;&gt;"",Sheet1!B42,"")</f>
        <v/>
      </c>
      <c r="C32" s="33" t="str">
        <f>IF(Sheet1!C42&lt;&gt;"",Sheet1!C42,"")</f>
        <v/>
      </c>
      <c r="D32" s="33" t="str">
        <f>IF(Sheet1!D34&lt;&gt;"",Sheet1!D34,"")</f>
        <v/>
      </c>
      <c r="E32" s="31" t="str">
        <f>IF(Sheet1!E34&lt;&gt;0,Sheet1!E34,"")</f>
        <v/>
      </c>
      <c r="F32" s="31" t="str">
        <f>IF(B32&lt;&gt;"",Sheet1!F34,"")</f>
        <v/>
      </c>
      <c r="G32" s="31" t="str">
        <f>IF(B32&lt;&gt;"",Sheet1!G34,"")</f>
        <v/>
      </c>
      <c r="H32" s="31" t="str">
        <f>IF(C32&lt;&gt;"",Sheet1!H34,"")</f>
        <v/>
      </c>
      <c r="I32" s="30" t="str">
        <f>IF(C32&lt;&gt;"",Sheet1!I34,"")</f>
        <v/>
      </c>
    </row>
    <row r="33" spans="1:9">
      <c r="A33" s="30" t="str">
        <f t="shared" si="1"/>
        <v/>
      </c>
      <c r="B33" s="33" t="str">
        <f>IF(Sheet1!B35&lt;&gt;"",Sheet1!B35,"")</f>
        <v/>
      </c>
      <c r="C33" s="33" t="str">
        <f>IF(Sheet1!C35&lt;&gt;"",Sheet1!C35,"")</f>
        <v/>
      </c>
      <c r="D33" s="33" t="str">
        <f>IF(Sheet1!D35&lt;&gt;"",Sheet1!D35,"")</f>
        <v/>
      </c>
      <c r="E33" s="31" t="str">
        <f>IF(Sheet1!E35&lt;&gt;0,Sheet1!E35,"")</f>
        <v/>
      </c>
      <c r="F33" s="31" t="str">
        <f>IF(B33&lt;&gt;"",Sheet1!F35,"")</f>
        <v/>
      </c>
      <c r="G33" s="31" t="str">
        <f>IF(B33&lt;&gt;"",Sheet1!G35,"")</f>
        <v/>
      </c>
      <c r="H33" s="31" t="str">
        <f>IF(C33&lt;&gt;"",Sheet1!H35,"")</f>
        <v/>
      </c>
      <c r="I33" s="30" t="str">
        <f>IF(C33&lt;&gt;"",Sheet1!I35,"")</f>
        <v/>
      </c>
    </row>
    <row r="34" spans="1:9">
      <c r="A34" s="30" t="str">
        <f t="shared" si="1"/>
        <v/>
      </c>
      <c r="B34" s="33" t="str">
        <f>IF(Sheet1!B28&lt;&gt;"",Sheet1!B28,"")</f>
        <v/>
      </c>
      <c r="C34" s="33" t="str">
        <f>IF(Sheet1!C28&lt;&gt;"",Sheet1!C28,"")</f>
        <v/>
      </c>
      <c r="D34" s="33" t="str">
        <f>IF(Sheet1!D36&lt;&gt;"",Sheet1!D36,"")</f>
        <v/>
      </c>
      <c r="E34" s="31" t="str">
        <f>IF(Sheet1!E36&lt;&gt;0,Sheet1!E36,"")</f>
        <v/>
      </c>
      <c r="F34" s="31" t="str">
        <f>IF(B34&lt;&gt;"",Sheet1!F36,"")</f>
        <v/>
      </c>
      <c r="G34" s="31" t="str">
        <f>IF(B34&lt;&gt;"",Sheet1!G36,"")</f>
        <v/>
      </c>
      <c r="H34" s="31" t="str">
        <f>IF(C34&lt;&gt;"",Sheet1!H36,"")</f>
        <v/>
      </c>
      <c r="I34" s="30" t="str">
        <f>IF(C34&lt;&gt;"",Sheet1!I36,"")</f>
        <v/>
      </c>
    </row>
    <row r="35" spans="1:9">
      <c r="A35" s="30" t="str">
        <f t="shared" si="1"/>
        <v/>
      </c>
      <c r="B35" s="33" t="str">
        <f>IF(Sheet1!B37&lt;&gt;"",Sheet1!B37,"")</f>
        <v/>
      </c>
      <c r="C35" s="33" t="str">
        <f>IF(Sheet1!C37&lt;&gt;"",Sheet1!C37,"")</f>
        <v/>
      </c>
      <c r="D35" s="33" t="str">
        <f>IF(Sheet1!D37&lt;&gt;"",Sheet1!D37,"")</f>
        <v/>
      </c>
      <c r="E35" s="31" t="str">
        <f>IF(Sheet1!E37&lt;&gt;0,Sheet1!E37,"")</f>
        <v/>
      </c>
      <c r="F35" s="31" t="str">
        <f>IF(B35&lt;&gt;"",Sheet1!F37,"")</f>
        <v/>
      </c>
      <c r="G35" s="31" t="str">
        <f>IF(B35&lt;&gt;"",Sheet1!G37,"")</f>
        <v/>
      </c>
      <c r="H35" s="31" t="str">
        <f>IF(C35&lt;&gt;"",Sheet1!H37,"")</f>
        <v/>
      </c>
      <c r="I35" s="30" t="str">
        <f>IF(C35&lt;&gt;"",Sheet1!I37,"")</f>
        <v/>
      </c>
    </row>
    <row r="36" spans="1:9">
      <c r="A36" s="30" t="str">
        <f t="shared" si="1"/>
        <v/>
      </c>
      <c r="B36" s="33" t="str">
        <f>IF(Sheet1!B43&lt;&gt;"",Sheet1!B43,"")</f>
        <v/>
      </c>
      <c r="C36" s="33" t="str">
        <f>IF(Sheet1!C43&lt;&gt;"",Sheet1!C43,"")</f>
        <v/>
      </c>
      <c r="D36" s="33" t="str">
        <f>IF(Sheet1!D38&lt;&gt;"",Sheet1!D38,"")</f>
        <v/>
      </c>
      <c r="E36" s="31" t="str">
        <f>IF(Sheet1!E38&lt;&gt;0,Sheet1!E38,"")</f>
        <v/>
      </c>
      <c r="F36" s="31" t="str">
        <f>IF(B36&lt;&gt;"",Sheet1!F38,"")</f>
        <v/>
      </c>
      <c r="G36" s="31" t="str">
        <f>IF(B36&lt;&gt;"",Sheet1!G38,"")</f>
        <v/>
      </c>
      <c r="H36" s="31" t="str">
        <f>IF(C36&lt;&gt;"",Sheet1!H38,"")</f>
        <v/>
      </c>
      <c r="I36" s="30" t="str">
        <f>IF(C36&lt;&gt;"",Sheet1!I38,"")</f>
        <v/>
      </c>
    </row>
    <row r="37" spans="1:9">
      <c r="A37" s="30" t="str">
        <f t="shared" si="1"/>
        <v/>
      </c>
      <c r="B37" s="33" t="str">
        <f>IF(Sheet1!B44&lt;&gt;"",Sheet1!B44,"")</f>
        <v/>
      </c>
      <c r="C37" s="33" t="str">
        <f>IF(Sheet1!C44&lt;&gt;"",Sheet1!C44,"")</f>
        <v/>
      </c>
      <c r="D37" s="33" t="str">
        <f>IF(Sheet1!D39&lt;&gt;"",Sheet1!D39,"")</f>
        <v/>
      </c>
      <c r="E37" s="31" t="str">
        <f>IF(Sheet1!E39&lt;&gt;0,Sheet1!E39,"")</f>
        <v/>
      </c>
      <c r="F37" s="31" t="str">
        <f>IF(B37&lt;&gt;"",Sheet1!F39,"")</f>
        <v/>
      </c>
      <c r="G37" s="31" t="str">
        <f>IF(B37&lt;&gt;"",Sheet1!G39,"")</f>
        <v/>
      </c>
      <c r="H37" s="31" t="str">
        <f>IF(C37&lt;&gt;"",Sheet1!H39,"")</f>
        <v/>
      </c>
      <c r="I37" s="30" t="str">
        <f>IF(C37&lt;&gt;"",Sheet1!I39,"")</f>
        <v/>
      </c>
    </row>
    <row r="38" spans="1:9">
      <c r="A38" s="30" t="str">
        <f t="shared" si="1"/>
        <v/>
      </c>
      <c r="B38" s="33" t="str">
        <f>IF(Sheet1!B45&lt;&gt;"",Sheet1!B45,"")</f>
        <v/>
      </c>
      <c r="C38" s="33" t="str">
        <f>IF(Sheet1!C45&lt;&gt;"",Sheet1!C45,"")</f>
        <v/>
      </c>
      <c r="D38" s="33" t="str">
        <f>IF(Sheet1!D40&lt;&gt;"",Sheet1!D40,"")</f>
        <v/>
      </c>
      <c r="E38" s="31" t="str">
        <f>IF(Sheet1!E40&lt;&gt;0,Sheet1!E40,"")</f>
        <v/>
      </c>
      <c r="F38" s="31" t="str">
        <f>IF(B38&lt;&gt;"",Sheet1!F40,"")</f>
        <v/>
      </c>
      <c r="G38" s="31" t="str">
        <f>IF(B38&lt;&gt;"",Sheet1!G40,"")</f>
        <v/>
      </c>
      <c r="H38" s="31" t="str">
        <f>IF(C38&lt;&gt;"",Sheet1!H40,"")</f>
        <v/>
      </c>
      <c r="I38" s="30" t="str">
        <f>IF(C38&lt;&gt;"",Sheet1!I40,"")</f>
        <v/>
      </c>
    </row>
    <row r="39" spans="1:9">
      <c r="A39" s="30" t="str">
        <f t="shared" si="1"/>
        <v/>
      </c>
      <c r="B39" s="33" t="str">
        <f>IF(Sheet1!B46&lt;&gt;"",Sheet1!B46,"")</f>
        <v/>
      </c>
      <c r="C39" s="33" t="str">
        <f>IF(Sheet1!C46&lt;&gt;"",Sheet1!C46,"")</f>
        <v/>
      </c>
      <c r="D39" s="33" t="str">
        <f>IF(Sheet1!D41&lt;&gt;"",Sheet1!D41,"")</f>
        <v/>
      </c>
      <c r="E39" s="31" t="str">
        <f>IF(Sheet1!E41&lt;&gt;0,Sheet1!E41,"")</f>
        <v/>
      </c>
      <c r="F39" s="31" t="str">
        <f>IF(B39&lt;&gt;"",Sheet1!F41,"")</f>
        <v/>
      </c>
      <c r="G39" s="31" t="str">
        <f>IF(B39&lt;&gt;"",Sheet1!G41,"")</f>
        <v/>
      </c>
      <c r="H39" s="31" t="str">
        <f>IF(C39&lt;&gt;"",Sheet1!H41,"")</f>
        <v/>
      </c>
      <c r="I39" s="30" t="str">
        <f>IF(C39&lt;&gt;"",Sheet1!I41,"")</f>
        <v/>
      </c>
    </row>
    <row r="40" spans="1:9">
      <c r="A40" s="30" t="str">
        <f t="shared" si="1"/>
        <v/>
      </c>
      <c r="B40" s="33" t="str">
        <f>IF(Sheet1!B47&lt;&gt;"",Sheet1!B47,"")</f>
        <v/>
      </c>
      <c r="C40" s="33" t="str">
        <f>IF(Sheet1!C47&lt;&gt;"",Sheet1!C47,"")</f>
        <v/>
      </c>
      <c r="D40" s="33" t="str">
        <f>IF(Sheet1!D42&lt;&gt;"",Sheet1!D42,"")</f>
        <v/>
      </c>
      <c r="E40" s="31" t="str">
        <f>IF(Sheet1!E42&lt;&gt;0,Sheet1!E42,"")</f>
        <v/>
      </c>
      <c r="F40" s="31" t="str">
        <f>IF(B40&lt;&gt;"",Sheet1!F42,"")</f>
        <v/>
      </c>
      <c r="G40" s="31" t="str">
        <f>IF(B40&lt;&gt;"",Sheet1!G42,"")</f>
        <v/>
      </c>
      <c r="H40" s="31" t="str">
        <f>IF(C40&lt;&gt;"",Sheet1!H42,"")</f>
        <v/>
      </c>
      <c r="I40" s="30" t="str">
        <f>IF(C40&lt;&gt;"",Sheet1!I42,"")</f>
        <v/>
      </c>
    </row>
    <row r="41" spans="1:9">
      <c r="A41" s="30" t="str">
        <f t="shared" si="1"/>
        <v/>
      </c>
      <c r="B41" s="33" t="str">
        <f>IF(Sheet1!B48&lt;&gt;"",Sheet1!B48,"")</f>
        <v/>
      </c>
      <c r="C41" s="33" t="str">
        <f>IF(Sheet1!C48&lt;&gt;"",Sheet1!C48,"")</f>
        <v/>
      </c>
      <c r="D41" s="33" t="str">
        <f>IF(Sheet1!D43&lt;&gt;"",Sheet1!D43,"")</f>
        <v/>
      </c>
      <c r="E41" s="31" t="str">
        <f>IF(Sheet1!E43&lt;&gt;0,Sheet1!E43,"")</f>
        <v/>
      </c>
      <c r="F41" s="31" t="str">
        <f>IF(B41&lt;&gt;"",Sheet1!F43,"")</f>
        <v/>
      </c>
      <c r="G41" s="31" t="str">
        <f>IF(B41&lt;&gt;"",Sheet1!G43,"")</f>
        <v/>
      </c>
      <c r="H41" s="31" t="str">
        <f>IF(C41&lt;&gt;"",Sheet1!H43,"")</f>
        <v/>
      </c>
      <c r="I41" s="30" t="str">
        <f>IF(C41&lt;&gt;"",Sheet1!I43,"")</f>
        <v/>
      </c>
    </row>
    <row r="42" spans="1:9">
      <c r="A42" s="30" t="str">
        <f t="shared" si="1"/>
        <v/>
      </c>
      <c r="B42" s="33" t="str">
        <f>IF(Sheet1!B49&lt;&gt;"",Sheet1!B49,"")</f>
        <v/>
      </c>
      <c r="C42" s="33" t="str">
        <f>IF(Sheet1!C49&lt;&gt;"",Sheet1!C49,"")</f>
        <v/>
      </c>
      <c r="D42" s="33" t="str">
        <f>IF(Sheet1!D44&lt;&gt;"",Sheet1!D44,"")</f>
        <v/>
      </c>
      <c r="E42" s="31" t="str">
        <f>IF(Sheet1!E44&lt;&gt;0,Sheet1!E44,"")</f>
        <v/>
      </c>
      <c r="F42" s="31" t="str">
        <f>IF(B42&lt;&gt;"",Sheet1!F44,"")</f>
        <v/>
      </c>
      <c r="G42" s="31" t="str">
        <f>IF(B42&lt;&gt;"",Sheet1!G44,"")</f>
        <v/>
      </c>
      <c r="H42" s="31" t="str">
        <f>IF(C42&lt;&gt;"",Sheet1!H44,"")</f>
        <v/>
      </c>
      <c r="I42" s="30" t="str">
        <f>IF(C42&lt;&gt;"",Sheet1!I44,"")</f>
        <v/>
      </c>
    </row>
    <row r="43" spans="1:9">
      <c r="A43" s="30" t="str">
        <f t="shared" si="1"/>
        <v/>
      </c>
      <c r="B43" s="33" t="str">
        <f>IF(Sheet1!B50&lt;&gt;"",Sheet1!B50,"")</f>
        <v/>
      </c>
      <c r="C43" s="33" t="str">
        <f>IF(Sheet1!C50&lt;&gt;"",Sheet1!C50,"")</f>
        <v/>
      </c>
      <c r="D43" s="33" t="str">
        <f>IF(Sheet1!D45&lt;&gt;"",Sheet1!D45,"")</f>
        <v/>
      </c>
      <c r="E43" s="31" t="str">
        <f>IF(Sheet1!E45&lt;&gt;0,Sheet1!E45,"")</f>
        <v/>
      </c>
      <c r="F43" s="31" t="str">
        <f>IF(B43&lt;&gt;"",Sheet1!F45,"")</f>
        <v/>
      </c>
      <c r="G43" s="31" t="str">
        <f>IF(B43&lt;&gt;"",Sheet1!G45,"")</f>
        <v/>
      </c>
      <c r="H43" s="31" t="str">
        <f>IF(C43&lt;&gt;"",Sheet1!H45,"")</f>
        <v/>
      </c>
      <c r="I43" s="30" t="str">
        <f>IF(C43&lt;&gt;"",Sheet1!I45,"")</f>
        <v/>
      </c>
    </row>
    <row r="44" spans="1:9">
      <c r="A44" s="30" t="str">
        <f t="shared" si="1"/>
        <v/>
      </c>
      <c r="B44" s="33" t="str">
        <f>IF(Sheet1!B51&lt;&gt;"",Sheet1!B51,"")</f>
        <v/>
      </c>
      <c r="C44" s="33" t="str">
        <f>IF(Sheet1!C51&lt;&gt;"",Sheet1!C51,"")</f>
        <v/>
      </c>
      <c r="D44" s="33" t="str">
        <f>IF(Sheet1!D46&lt;&gt;"",Sheet1!D46,"")</f>
        <v/>
      </c>
      <c r="E44" s="31" t="str">
        <f>IF(Sheet1!E46&lt;&gt;0,Sheet1!E46,"")</f>
        <v/>
      </c>
      <c r="F44" s="31" t="str">
        <f>IF(B44&lt;&gt;"",Sheet1!F46,"")</f>
        <v/>
      </c>
      <c r="G44" s="31" t="str">
        <f>IF(B44&lt;&gt;"",Sheet1!G46,"")</f>
        <v/>
      </c>
      <c r="H44" s="31" t="str">
        <f>IF(C44&lt;&gt;"",Sheet1!H46,"")</f>
        <v/>
      </c>
      <c r="I44" s="30" t="str">
        <f>IF(C44&lt;&gt;"",Sheet1!I46,"")</f>
        <v/>
      </c>
    </row>
    <row r="45" spans="1:9">
      <c r="A45" s="30" t="str">
        <f t="shared" si="1"/>
        <v/>
      </c>
      <c r="B45" s="33" t="str">
        <f>IF(Sheet1!B52&lt;&gt;"",Sheet1!B52,"")</f>
        <v/>
      </c>
      <c r="C45" s="33" t="str">
        <f>IF(Sheet1!C52&lt;&gt;"",Sheet1!C52,"")</f>
        <v/>
      </c>
      <c r="D45" s="33" t="str">
        <f>IF(Sheet1!D47&lt;&gt;"",Sheet1!D47,"")</f>
        <v/>
      </c>
      <c r="E45" s="31" t="str">
        <f>IF(Sheet1!E47&lt;&gt;0,Sheet1!E47,"")</f>
        <v/>
      </c>
      <c r="F45" s="31" t="str">
        <f>IF(B45&lt;&gt;"",Sheet1!F47,"")</f>
        <v/>
      </c>
      <c r="G45" s="31" t="str">
        <f>IF(B45&lt;&gt;"",Sheet1!G47,"")</f>
        <v/>
      </c>
      <c r="H45" s="31" t="str">
        <f>IF(C45&lt;&gt;"",Sheet1!H47,"")</f>
        <v/>
      </c>
      <c r="I45" s="30" t="str">
        <f>IF(C45&lt;&gt;"",Sheet1!I47,"")</f>
        <v/>
      </c>
    </row>
    <row r="46" spans="1:9">
      <c r="A46" s="30" t="str">
        <f t="shared" si="1"/>
        <v/>
      </c>
      <c r="B46" s="33" t="str">
        <f>IF(Sheet1!B53&lt;&gt;"",Sheet1!B53,"")</f>
        <v/>
      </c>
      <c r="C46" s="33" t="str">
        <f>IF(Sheet1!C53&lt;&gt;"",Sheet1!C53,"")</f>
        <v/>
      </c>
      <c r="D46" s="33" t="str">
        <f>IF(Sheet1!D48&lt;&gt;"",Sheet1!D48,"")</f>
        <v/>
      </c>
      <c r="E46" s="31" t="str">
        <f>IF(Sheet1!E48&lt;&gt;0,Sheet1!E48,"")</f>
        <v/>
      </c>
      <c r="F46" s="31" t="str">
        <f>IF(B46&lt;&gt;"",Sheet1!F48,"")</f>
        <v/>
      </c>
      <c r="G46" s="31" t="str">
        <f>IF(B46&lt;&gt;"",Sheet1!G48,"")</f>
        <v/>
      </c>
      <c r="H46" s="31" t="str">
        <f>IF(C46&lt;&gt;"",Sheet1!H48,"")</f>
        <v/>
      </c>
      <c r="I46" s="30" t="str">
        <f>IF(C46&lt;&gt;"",Sheet1!I48,"")</f>
        <v/>
      </c>
    </row>
    <row r="47" spans="1:9">
      <c r="A47" s="30" t="str">
        <f t="shared" si="1"/>
        <v/>
      </c>
      <c r="B47" s="33" t="str">
        <f>IF(Sheet1!B54&lt;&gt;"",Sheet1!B54,"")</f>
        <v/>
      </c>
      <c r="C47" s="33" t="str">
        <f>IF(Sheet1!C54&lt;&gt;"",Sheet1!C54,"")</f>
        <v/>
      </c>
      <c r="D47" s="33" t="str">
        <f>IF(Sheet1!D49&lt;&gt;"",Sheet1!D49,"")</f>
        <v/>
      </c>
      <c r="E47" s="31" t="str">
        <f>IF(Sheet1!E49&lt;&gt;0,Sheet1!E49,"")</f>
        <v/>
      </c>
      <c r="F47" s="31" t="str">
        <f>IF(B47&lt;&gt;"",Sheet1!F49,"")</f>
        <v/>
      </c>
      <c r="G47" s="31" t="str">
        <f>IF(B47&lt;&gt;"",Sheet1!G49,"")</f>
        <v/>
      </c>
      <c r="H47" s="31" t="str">
        <f>IF(C47&lt;&gt;"",Sheet1!H49,"")</f>
        <v/>
      </c>
      <c r="I47" s="30" t="str">
        <f>IF(C47&lt;&gt;"",Sheet1!I49,"")</f>
        <v/>
      </c>
    </row>
    <row r="48" spans="1:9">
      <c r="A48" s="30" t="str">
        <f t="shared" si="1"/>
        <v/>
      </c>
      <c r="B48" s="33" t="str">
        <f>IF(Sheet1!B55&lt;&gt;"",Sheet1!B55,"")</f>
        <v/>
      </c>
      <c r="C48" s="33" t="str">
        <f>IF(Sheet1!C55&lt;&gt;"",Sheet1!C55,"")</f>
        <v/>
      </c>
      <c r="D48" s="33" t="str">
        <f>IF(Sheet1!D50&lt;&gt;"",Sheet1!D50,"")</f>
        <v/>
      </c>
      <c r="E48" s="31" t="str">
        <f>IF(Sheet1!E50&lt;&gt;0,Sheet1!E50,"")</f>
        <v/>
      </c>
      <c r="F48" s="31" t="str">
        <f>IF(B48&lt;&gt;"",Sheet1!F50,"")</f>
        <v/>
      </c>
      <c r="G48" s="31" t="str">
        <f>IF(B48&lt;&gt;"",Sheet1!G50,"")</f>
        <v/>
      </c>
      <c r="H48" s="31" t="str">
        <f>IF(C48&lt;&gt;"",Sheet1!H50,"")</f>
        <v/>
      </c>
      <c r="I48" s="30" t="str">
        <f>IF(C48&lt;&gt;"",Sheet1!I50,"")</f>
        <v/>
      </c>
    </row>
    <row r="49" spans="1:9">
      <c r="A49" s="30" t="str">
        <f t="shared" si="1"/>
        <v/>
      </c>
      <c r="B49" s="33" t="str">
        <f>IF(Sheet1!B56&lt;&gt;"",Sheet1!B56,"")</f>
        <v/>
      </c>
      <c r="C49" s="33" t="str">
        <f>IF(Sheet1!C56&lt;&gt;"",Sheet1!C56,"")</f>
        <v/>
      </c>
      <c r="D49" s="33" t="str">
        <f>IF(Sheet1!D51&lt;&gt;"",Sheet1!D51,"")</f>
        <v/>
      </c>
      <c r="E49" s="31" t="str">
        <f>IF(Sheet1!E51&lt;&gt;0,Sheet1!E51,"")</f>
        <v/>
      </c>
      <c r="F49" s="31" t="str">
        <f>IF(B49&lt;&gt;"",Sheet1!F51,"")</f>
        <v/>
      </c>
      <c r="G49" s="31" t="str">
        <f>IF(B49&lt;&gt;"",Sheet1!G51,"")</f>
        <v/>
      </c>
      <c r="H49" s="31" t="str">
        <f>IF(C49&lt;&gt;"",Sheet1!H51,"")</f>
        <v/>
      </c>
      <c r="I49" s="30" t="str">
        <f>IF(C49&lt;&gt;"",Sheet1!I51,"")</f>
        <v/>
      </c>
    </row>
    <row r="50" spans="1:9">
      <c r="A50" s="30" t="str">
        <f t="shared" si="1"/>
        <v/>
      </c>
      <c r="B50" s="33" t="str">
        <f>IF(Sheet1!B57&lt;&gt;"",Sheet1!B57,"")</f>
        <v/>
      </c>
      <c r="C50" s="33" t="str">
        <f>IF(Sheet1!C57&lt;&gt;"",Sheet1!C57,"")</f>
        <v/>
      </c>
      <c r="D50" s="33" t="str">
        <f>IF(Sheet1!D52&lt;&gt;"",Sheet1!D52,"")</f>
        <v/>
      </c>
      <c r="E50" s="31" t="str">
        <f>IF(Sheet1!E52&lt;&gt;0,Sheet1!E52,"")</f>
        <v/>
      </c>
      <c r="F50" s="31" t="str">
        <f>IF(B50&lt;&gt;"",Sheet1!F52,"")</f>
        <v/>
      </c>
      <c r="G50" s="31" t="str">
        <f>IF(B50&lt;&gt;"",Sheet1!G52,"")</f>
        <v/>
      </c>
      <c r="H50" s="31" t="str">
        <f>IF(C50&lt;&gt;"",Sheet1!H52,"")</f>
        <v/>
      </c>
      <c r="I50" s="30" t="str">
        <f>IF(C50&lt;&gt;"",Sheet1!I52,"")</f>
        <v/>
      </c>
    </row>
    <row r="51" spans="1:9">
      <c r="A51" s="30" t="str">
        <f t="shared" si="1"/>
        <v/>
      </c>
      <c r="B51" s="33" t="str">
        <f>IF(Sheet1!B58&lt;&gt;"",Sheet1!B58,"")</f>
        <v/>
      </c>
      <c r="C51" s="33" t="str">
        <f>IF(Sheet1!C58&lt;&gt;"",Sheet1!C58,"")</f>
        <v/>
      </c>
      <c r="D51" s="33" t="str">
        <f>IF(Sheet1!D53&lt;&gt;"",Sheet1!D53,"")</f>
        <v/>
      </c>
      <c r="E51" s="31" t="str">
        <f>IF(Sheet1!E53&lt;&gt;0,Sheet1!E53,"")</f>
        <v/>
      </c>
      <c r="F51" s="31" t="str">
        <f>IF(B51&lt;&gt;"",Sheet1!F53,"")</f>
        <v/>
      </c>
      <c r="G51" s="31" t="str">
        <f>IF(B51&lt;&gt;"",Sheet1!G53,"")</f>
        <v/>
      </c>
      <c r="H51" s="31" t="str">
        <f>IF(C51&lt;&gt;"",Sheet1!H53,"")</f>
        <v/>
      </c>
      <c r="I51" s="30" t="str">
        <f>IF(C51&lt;&gt;"",Sheet1!I53,"")</f>
        <v/>
      </c>
    </row>
    <row r="52" spans="1:9">
      <c r="A52" s="30" t="str">
        <f t="shared" si="1"/>
        <v/>
      </c>
      <c r="B52" s="33" t="str">
        <f>IF(Sheet1!B59&lt;&gt;"",Sheet1!B59,"")</f>
        <v/>
      </c>
      <c r="C52" s="33" t="str">
        <f>IF(Sheet1!C59&lt;&gt;"",Sheet1!C59,"")</f>
        <v/>
      </c>
      <c r="D52" s="33" t="str">
        <f>IF(Sheet1!D54&lt;&gt;"",Sheet1!D54,"")</f>
        <v/>
      </c>
      <c r="E52" s="31" t="str">
        <f>IF(Sheet1!E54&lt;&gt;0,Sheet1!E54,"")</f>
        <v/>
      </c>
      <c r="F52" s="31" t="str">
        <f>IF(B52&lt;&gt;"",Sheet1!F54,"")</f>
        <v/>
      </c>
      <c r="G52" s="31" t="str">
        <f>IF(B52&lt;&gt;"",Sheet1!G54,"")</f>
        <v/>
      </c>
      <c r="H52" s="31" t="str">
        <f>IF(C52&lt;&gt;"",Sheet1!H54,"")</f>
        <v/>
      </c>
      <c r="I52" s="30" t="str">
        <f>IF(C52&lt;&gt;"",Sheet1!I54,"")</f>
        <v/>
      </c>
    </row>
    <row r="53" spans="1:9">
      <c r="A53" s="30" t="str">
        <f t="shared" si="1"/>
        <v/>
      </c>
      <c r="B53" s="33" t="str">
        <f>IF(Sheet1!B60&lt;&gt;"",Sheet1!B60,"")</f>
        <v/>
      </c>
      <c r="C53" s="33" t="str">
        <f>IF(Sheet1!C60&lt;&gt;"",Sheet1!C60,"")</f>
        <v/>
      </c>
      <c r="D53" s="33" t="str">
        <f>IF(Sheet1!D55&lt;&gt;"",Sheet1!D55,"")</f>
        <v/>
      </c>
      <c r="E53" s="31" t="str">
        <f>IF(Sheet1!E55&lt;&gt;0,Sheet1!E55,"")</f>
        <v/>
      </c>
      <c r="F53" s="31" t="str">
        <f>IF(B53&lt;&gt;"",Sheet1!F55,"")</f>
        <v/>
      </c>
      <c r="G53" s="31" t="str">
        <f>IF(B53&lt;&gt;"",Sheet1!G55,"")</f>
        <v/>
      </c>
      <c r="H53" s="31" t="str">
        <f>IF(C53&lt;&gt;"",Sheet1!H55,"")</f>
        <v/>
      </c>
      <c r="I53" s="30" t="str">
        <f>IF(C53&lt;&gt;"",Sheet1!I55,"")</f>
        <v/>
      </c>
    </row>
    <row r="54" spans="1:9">
      <c r="A54" s="30" t="str">
        <f t="shared" si="1"/>
        <v/>
      </c>
      <c r="B54" s="33" t="str">
        <f>IF(Sheet1!B61&lt;&gt;"",Sheet1!B61,"")</f>
        <v/>
      </c>
      <c r="C54" s="33" t="str">
        <f>IF(Sheet1!C61&lt;&gt;"",Sheet1!C61,"")</f>
        <v/>
      </c>
      <c r="D54" s="33" t="str">
        <f>IF(Sheet1!D56&lt;&gt;"",Sheet1!D56,"")</f>
        <v/>
      </c>
      <c r="E54" s="31" t="str">
        <f>IF(Sheet1!E56&lt;&gt;0,Sheet1!E56,"")</f>
        <v/>
      </c>
      <c r="F54" s="31" t="str">
        <f>IF(B54&lt;&gt;"",Sheet1!F56,"")</f>
        <v/>
      </c>
      <c r="G54" s="31" t="str">
        <f>IF(B54&lt;&gt;"",Sheet1!G56,"")</f>
        <v/>
      </c>
      <c r="H54" s="31" t="str">
        <f>IF(C54&lt;&gt;"",Sheet1!H56,"")</f>
        <v/>
      </c>
      <c r="I54" s="30" t="str">
        <f>IF(C54&lt;&gt;"",Sheet1!I56,"")</f>
        <v/>
      </c>
    </row>
    <row r="55" spans="1:9">
      <c r="A55" s="30" t="str">
        <f t="shared" si="1"/>
        <v/>
      </c>
      <c r="B55" s="33" t="str">
        <f>IF(Sheet1!B62&lt;&gt;"",Sheet1!B62,"")</f>
        <v/>
      </c>
      <c r="C55" s="33" t="str">
        <f>IF(Sheet1!C62&lt;&gt;"",Sheet1!C62,"")</f>
        <v/>
      </c>
      <c r="D55" s="33" t="str">
        <f>IF(Sheet1!D57&lt;&gt;"",Sheet1!D57,"")</f>
        <v/>
      </c>
      <c r="E55" s="31" t="str">
        <f>IF(Sheet1!E57&lt;&gt;0,Sheet1!E57,"")</f>
        <v/>
      </c>
      <c r="F55" s="31" t="str">
        <f>IF(B55&lt;&gt;"",Sheet1!F57,"")</f>
        <v/>
      </c>
      <c r="G55" s="31" t="str">
        <f>IF(B55&lt;&gt;"",Sheet1!G57,"")</f>
        <v/>
      </c>
      <c r="H55" s="31" t="str">
        <f>IF(C55&lt;&gt;"",Sheet1!H57,"")</f>
        <v/>
      </c>
      <c r="I55" s="30" t="str">
        <f>IF(C55&lt;&gt;"",Sheet1!I57,"")</f>
        <v/>
      </c>
    </row>
    <row r="56" spans="1:9">
      <c r="A56" s="30" t="str">
        <f t="shared" si="1"/>
        <v/>
      </c>
      <c r="B56" s="33" t="str">
        <f>IF(Sheet1!B63&lt;&gt;"",Sheet1!B63,"")</f>
        <v/>
      </c>
      <c r="C56" s="33" t="str">
        <f>IF(Sheet1!C63&lt;&gt;"",Sheet1!C63,"")</f>
        <v/>
      </c>
      <c r="D56" s="33" t="str">
        <f>IF(Sheet1!D58&lt;&gt;"",Sheet1!D58,"")</f>
        <v/>
      </c>
      <c r="E56" s="31" t="str">
        <f>IF(Sheet1!E58&lt;&gt;0,Sheet1!E58,"")</f>
        <v/>
      </c>
      <c r="F56" s="31" t="str">
        <f>IF(B56&lt;&gt;"",Sheet1!F58,"")</f>
        <v/>
      </c>
      <c r="G56" s="31" t="str">
        <f>IF(B56&lt;&gt;"",Sheet1!G58,"")</f>
        <v/>
      </c>
      <c r="H56" s="31" t="str">
        <f>IF(C56&lt;&gt;"",Sheet1!H58,"")</f>
        <v/>
      </c>
      <c r="I56" s="30" t="str">
        <f>IF(C56&lt;&gt;"",Sheet1!I58,"")</f>
        <v/>
      </c>
    </row>
    <row r="57" spans="1:9">
      <c r="A57" s="30" t="str">
        <f t="shared" si="1"/>
        <v/>
      </c>
      <c r="B57" s="33" t="str">
        <f>IF(Sheet1!B64&lt;&gt;"",Sheet1!B64,"")</f>
        <v/>
      </c>
      <c r="C57" s="33" t="str">
        <f>IF(Sheet1!C64&lt;&gt;"",Sheet1!C64,"")</f>
        <v/>
      </c>
      <c r="D57" s="33" t="str">
        <f>IF(Sheet1!D59&lt;&gt;"",Sheet1!D59,"")</f>
        <v/>
      </c>
      <c r="E57" s="31" t="str">
        <f>IF(Sheet1!E59&lt;&gt;0,Sheet1!E59,"")</f>
        <v/>
      </c>
      <c r="F57" s="31" t="str">
        <f>IF(B57&lt;&gt;"",Sheet1!F59,"")</f>
        <v/>
      </c>
      <c r="G57" s="31" t="str">
        <f>IF(B57&lt;&gt;"",Sheet1!G59,"")</f>
        <v/>
      </c>
      <c r="H57" s="31" t="str">
        <f>IF(C57&lt;&gt;"",Sheet1!H59,"")</f>
        <v/>
      </c>
      <c r="I57" s="30" t="str">
        <f>IF(C57&lt;&gt;"",Sheet1!I59,"")</f>
        <v/>
      </c>
    </row>
    <row r="58" spans="1:9">
      <c r="A58" s="30" t="str">
        <f t="shared" ref="A58:A89" si="2">IF(B58="","",IF(I58=0,"---",RANK(I58,$I$5:$I$164,0)))</f>
        <v/>
      </c>
      <c r="B58" s="33" t="str">
        <f>IF(Sheet1!B65&lt;&gt;"",Sheet1!B65,"")</f>
        <v/>
      </c>
      <c r="C58" s="33" t="str">
        <f>IF(Sheet1!C65&lt;&gt;"",Sheet1!C65,"")</f>
        <v/>
      </c>
      <c r="D58" s="33" t="str">
        <f>IF(Sheet1!D65&lt;&gt;"",Sheet1!D65,"")</f>
        <v/>
      </c>
      <c r="E58" s="31" t="str">
        <f>IF(Sheet1!E60&lt;&gt;0,Sheet1!E60,"")</f>
        <v/>
      </c>
      <c r="F58" s="31" t="str">
        <f>IF(B58&lt;&gt;"",Sheet1!F60,"")</f>
        <v/>
      </c>
      <c r="G58" s="31" t="str">
        <f>IF(B58&lt;&gt;"",Sheet1!G60,"")</f>
        <v/>
      </c>
      <c r="H58" s="31" t="str">
        <f>IF(C58&lt;&gt;"",Sheet1!H60,"")</f>
        <v/>
      </c>
      <c r="I58" s="30" t="str">
        <f>IF(C58&lt;&gt;"",Sheet1!I60,"")</f>
        <v/>
      </c>
    </row>
    <row r="59" spans="1:9">
      <c r="A59" s="30" t="str">
        <f t="shared" si="2"/>
        <v/>
      </c>
      <c r="B59" s="33" t="str">
        <f>IF(Sheet1!B66&lt;&gt;"",Sheet1!B66,"")</f>
        <v/>
      </c>
      <c r="C59" s="33" t="str">
        <f>IF(Sheet1!C66&lt;&gt;"",Sheet1!C66,"")</f>
        <v/>
      </c>
      <c r="D59" s="33" t="str">
        <f>IF(Sheet1!D66&lt;&gt;"",Sheet1!D66,"")</f>
        <v/>
      </c>
      <c r="E59" s="31" t="str">
        <f>IF(Sheet1!E61&lt;&gt;0,Sheet1!E61,"")</f>
        <v/>
      </c>
      <c r="F59" s="31" t="str">
        <f>IF(B59&lt;&gt;"",Sheet1!F61,"")</f>
        <v/>
      </c>
      <c r="G59" s="31" t="str">
        <f>IF(B59&lt;&gt;"",Sheet1!G61,"")</f>
        <v/>
      </c>
      <c r="H59" s="31" t="str">
        <f>IF(C59&lt;&gt;"",Sheet1!H61,"")</f>
        <v/>
      </c>
      <c r="I59" s="30" t="str">
        <f>IF(C59&lt;&gt;"",Sheet1!I61,"")</f>
        <v/>
      </c>
    </row>
    <row r="60" spans="1:9">
      <c r="A60" s="30" t="str">
        <f t="shared" si="2"/>
        <v/>
      </c>
      <c r="B60" s="33" t="str">
        <f>IF(Sheet1!B67&lt;&gt;"",Sheet1!B67,"")</f>
        <v/>
      </c>
      <c r="C60" s="33" t="str">
        <f>IF(Sheet1!C67&lt;&gt;"",Sheet1!C67,"")</f>
        <v/>
      </c>
      <c r="D60" s="33" t="str">
        <f>IF(Sheet1!D67&lt;&gt;"",Sheet1!D67,"")</f>
        <v/>
      </c>
      <c r="E60" s="31" t="str">
        <f>IF(Sheet1!E62&lt;&gt;0,Sheet1!E62,"")</f>
        <v/>
      </c>
      <c r="F60" s="31" t="str">
        <f>IF(B60&lt;&gt;"",Sheet1!F62,"")</f>
        <v/>
      </c>
      <c r="G60" s="31" t="str">
        <f>IF(B60&lt;&gt;"",Sheet1!G62,"")</f>
        <v/>
      </c>
      <c r="H60" s="31" t="str">
        <f>IF(C60&lt;&gt;"",Sheet1!H62,"")</f>
        <v/>
      </c>
      <c r="I60" s="30" t="str">
        <f>IF(C60&lt;&gt;"",Sheet1!I62,"")</f>
        <v/>
      </c>
    </row>
    <row r="61" spans="1:9">
      <c r="A61" s="30" t="str">
        <f t="shared" si="2"/>
        <v/>
      </c>
      <c r="B61" s="33" t="str">
        <f>IF(Sheet1!B68&lt;&gt;"",Sheet1!B68,"")</f>
        <v/>
      </c>
      <c r="C61" s="33" t="str">
        <f>IF(Sheet1!C68&lt;&gt;"",Sheet1!C68,"")</f>
        <v/>
      </c>
      <c r="D61" s="33" t="str">
        <f>IF(Sheet1!D68&lt;&gt;"",Sheet1!D68,"")</f>
        <v/>
      </c>
      <c r="E61" s="31" t="str">
        <f>IF(Sheet1!E63&lt;&gt;0,Sheet1!E63,"")</f>
        <v/>
      </c>
      <c r="F61" s="31" t="str">
        <f>IF(B61&lt;&gt;"",Sheet1!F63,"")</f>
        <v/>
      </c>
      <c r="G61" s="31" t="str">
        <f>IF(B61&lt;&gt;"",Sheet1!G63,"")</f>
        <v/>
      </c>
      <c r="H61" s="31" t="str">
        <f>IF(C61&lt;&gt;"",Sheet1!H63,"")</f>
        <v/>
      </c>
      <c r="I61" s="30" t="str">
        <f>IF(C61&lt;&gt;"",Sheet1!I63,"")</f>
        <v/>
      </c>
    </row>
    <row r="62" spans="1:9">
      <c r="A62" s="30" t="str">
        <f t="shared" si="2"/>
        <v/>
      </c>
      <c r="B62" s="33" t="str">
        <f>IF(Sheet1!B69&lt;&gt;"",Sheet1!B69,"")</f>
        <v/>
      </c>
      <c r="C62" s="33" t="str">
        <f>IF(Sheet1!C69&lt;&gt;"",Sheet1!C69,"")</f>
        <v/>
      </c>
      <c r="D62" s="33" t="str">
        <f>IF(Sheet1!D69&lt;&gt;"",Sheet1!D69,"")</f>
        <v/>
      </c>
      <c r="E62" s="31" t="str">
        <f>IF(Sheet1!E64&lt;&gt;0,Sheet1!E64,"")</f>
        <v/>
      </c>
      <c r="F62" s="31" t="str">
        <f>IF(B62&lt;&gt;"",Sheet1!F64,"")</f>
        <v/>
      </c>
      <c r="G62" s="31" t="str">
        <f>IF(B62&lt;&gt;"",Sheet1!G64,"")</f>
        <v/>
      </c>
      <c r="H62" s="31" t="str">
        <f>IF(C62&lt;&gt;"",Sheet1!H64,"")</f>
        <v/>
      </c>
      <c r="I62" s="30" t="str">
        <f>IF(C62&lt;&gt;"",Sheet1!I64,"")</f>
        <v/>
      </c>
    </row>
    <row r="63" spans="1:9">
      <c r="A63" s="30" t="str">
        <f t="shared" si="2"/>
        <v/>
      </c>
      <c r="B63" s="33" t="str">
        <f>IF(Sheet1!B70&lt;&gt;"",Sheet1!B70,"")</f>
        <v/>
      </c>
      <c r="C63" s="33" t="str">
        <f>IF(Sheet1!C70&lt;&gt;"",Sheet1!C70,"")</f>
        <v/>
      </c>
      <c r="D63" s="33" t="str">
        <f>IF(Sheet1!D70&lt;&gt;"",Sheet1!D70,"")</f>
        <v/>
      </c>
      <c r="E63" s="31" t="str">
        <f>IF(Sheet1!E65&lt;&gt;0,Sheet1!E65,"")</f>
        <v/>
      </c>
      <c r="F63" s="31" t="str">
        <f>IF(B63&lt;&gt;"",Sheet1!F65,"")</f>
        <v/>
      </c>
      <c r="G63" s="31" t="str">
        <f>IF(B63&lt;&gt;"",Sheet1!G65,"")</f>
        <v/>
      </c>
      <c r="H63" s="31" t="str">
        <f>IF(C63&lt;&gt;"",Sheet1!H65,"")</f>
        <v/>
      </c>
      <c r="I63" s="30" t="str">
        <f>IF(C63&lt;&gt;"",Sheet1!I65,"")</f>
        <v/>
      </c>
    </row>
    <row r="64" spans="1:9">
      <c r="A64" s="30" t="str">
        <f t="shared" si="2"/>
        <v/>
      </c>
      <c r="B64" s="33" t="str">
        <f>IF(Sheet1!B71&lt;&gt;"",Sheet1!B71,"")</f>
        <v/>
      </c>
      <c r="C64" s="33" t="str">
        <f>IF(Sheet1!C71&lt;&gt;"",Sheet1!C71,"")</f>
        <v/>
      </c>
      <c r="D64" s="33" t="str">
        <f>IF(Sheet1!D71&lt;&gt;"",Sheet1!D71,"")</f>
        <v/>
      </c>
      <c r="E64" s="31" t="str">
        <f>IF(Sheet1!E66&lt;&gt;0,Sheet1!E66,"")</f>
        <v/>
      </c>
      <c r="F64" s="31" t="str">
        <f>IF(B64&lt;&gt;"",Sheet1!F66,"")</f>
        <v/>
      </c>
      <c r="G64" s="31" t="str">
        <f>IF(B64&lt;&gt;"",Sheet1!G66,"")</f>
        <v/>
      </c>
      <c r="H64" s="31" t="str">
        <f>IF(C64&lt;&gt;"",Sheet1!H66,"")</f>
        <v/>
      </c>
      <c r="I64" s="30" t="str">
        <f>IF(C64&lt;&gt;"",Sheet1!I66,"")</f>
        <v/>
      </c>
    </row>
    <row r="65" spans="1:9">
      <c r="A65" s="30" t="str">
        <f t="shared" si="2"/>
        <v/>
      </c>
      <c r="B65" s="33" t="str">
        <f>IF(Sheet1!B72&lt;&gt;"",Sheet1!B72,"")</f>
        <v/>
      </c>
      <c r="C65" s="33" t="str">
        <f>IF(Sheet1!C72&lt;&gt;"",Sheet1!C72,"")</f>
        <v/>
      </c>
      <c r="D65" s="33" t="str">
        <f>IF(Sheet1!D72&lt;&gt;"",Sheet1!D72,"")</f>
        <v/>
      </c>
      <c r="E65" s="31" t="str">
        <f>IF(Sheet1!E67&lt;&gt;0,Sheet1!E67,"")</f>
        <v/>
      </c>
      <c r="F65" s="31" t="str">
        <f>IF(B65&lt;&gt;"",Sheet1!F67,"")</f>
        <v/>
      </c>
      <c r="G65" s="31" t="str">
        <f>IF(B65&lt;&gt;"",Sheet1!G67,"")</f>
        <v/>
      </c>
      <c r="H65" s="31" t="str">
        <f>IF(C65&lt;&gt;"",Sheet1!H67,"")</f>
        <v/>
      </c>
      <c r="I65" s="30" t="str">
        <f>IF(C65&lt;&gt;"",Sheet1!I67,"")</f>
        <v/>
      </c>
    </row>
    <row r="66" spans="1:9">
      <c r="A66" s="30" t="str">
        <f t="shared" si="2"/>
        <v/>
      </c>
      <c r="B66" s="33" t="str">
        <f>IF(Sheet1!B73&lt;&gt;"",Sheet1!B73,"")</f>
        <v/>
      </c>
      <c r="C66" s="33" t="str">
        <f>IF(Sheet1!C73&lt;&gt;"",Sheet1!C73,"")</f>
        <v/>
      </c>
      <c r="D66" s="33" t="str">
        <f>IF(Sheet1!D73&lt;&gt;"",Sheet1!D73,"")</f>
        <v/>
      </c>
      <c r="E66" s="31" t="str">
        <f>IF(Sheet1!E68&lt;&gt;0,Sheet1!E68,"")</f>
        <v/>
      </c>
      <c r="F66" s="31" t="str">
        <f>IF(B66&lt;&gt;"",Sheet1!F68,"")</f>
        <v/>
      </c>
      <c r="G66" s="31" t="str">
        <f>IF(B66&lt;&gt;"",Sheet1!G68,"")</f>
        <v/>
      </c>
      <c r="H66" s="31" t="str">
        <f>IF(C66&lt;&gt;"",Sheet1!H68,"")</f>
        <v/>
      </c>
      <c r="I66" s="30" t="str">
        <f>IF(C66&lt;&gt;"",Sheet1!I68,"")</f>
        <v/>
      </c>
    </row>
    <row r="67" spans="1:9">
      <c r="A67" s="30" t="str">
        <f t="shared" si="2"/>
        <v/>
      </c>
      <c r="B67" s="33" t="str">
        <f>IF(Sheet1!B74&lt;&gt;"",Sheet1!B74,"")</f>
        <v/>
      </c>
      <c r="C67" s="33" t="str">
        <f>IF(Sheet1!C74&lt;&gt;"",Sheet1!C74,"")</f>
        <v/>
      </c>
      <c r="D67" s="33" t="str">
        <f>IF(Sheet1!D74&lt;&gt;"",Sheet1!D74,"")</f>
        <v/>
      </c>
      <c r="E67" s="31" t="str">
        <f>IF(Sheet1!E69&lt;&gt;0,Sheet1!E69,"")</f>
        <v/>
      </c>
      <c r="F67" s="31" t="str">
        <f>IF(B67&lt;&gt;"",Sheet1!F69,"")</f>
        <v/>
      </c>
      <c r="G67" s="31" t="str">
        <f>IF(B67&lt;&gt;"",Sheet1!G69,"")</f>
        <v/>
      </c>
      <c r="H67" s="31" t="str">
        <f>IF(C67&lt;&gt;"",Sheet1!H69,"")</f>
        <v/>
      </c>
      <c r="I67" s="30" t="str">
        <f>IF(C67&lt;&gt;"",Sheet1!I69,"")</f>
        <v/>
      </c>
    </row>
    <row r="68" spans="1:9">
      <c r="A68" s="30" t="str">
        <f t="shared" si="2"/>
        <v/>
      </c>
      <c r="B68" s="33" t="str">
        <f>IF(Sheet1!B75&lt;&gt;"",Sheet1!B75,"")</f>
        <v/>
      </c>
      <c r="C68" s="33" t="str">
        <f>IF(Sheet1!C75&lt;&gt;"",Sheet1!C75,"")</f>
        <v/>
      </c>
      <c r="D68" s="33" t="str">
        <f>IF(Sheet1!D75&lt;&gt;"",Sheet1!D75,"")</f>
        <v/>
      </c>
      <c r="E68" s="31" t="str">
        <f>IF(Sheet1!E70&lt;&gt;0,Sheet1!E70,"")</f>
        <v/>
      </c>
      <c r="F68" s="31" t="str">
        <f>IF(B68&lt;&gt;"",Sheet1!F70,"")</f>
        <v/>
      </c>
      <c r="G68" s="31" t="str">
        <f>IF(B68&lt;&gt;"",Sheet1!G70,"")</f>
        <v/>
      </c>
      <c r="H68" s="31" t="str">
        <f>IF(C68&lt;&gt;"",Sheet1!H70,"")</f>
        <v/>
      </c>
      <c r="I68" s="30" t="str">
        <f>IF(C68&lt;&gt;"",Sheet1!I70,"")</f>
        <v/>
      </c>
    </row>
    <row r="69" spans="1:9">
      <c r="A69" s="30" t="str">
        <f t="shared" si="2"/>
        <v/>
      </c>
      <c r="B69" s="33" t="str">
        <f>IF(Sheet1!B76&lt;&gt;"",Sheet1!B76,"")</f>
        <v/>
      </c>
      <c r="C69" s="33" t="str">
        <f>IF(Sheet1!C76&lt;&gt;"",Sheet1!C76,"")</f>
        <v/>
      </c>
      <c r="D69" s="33" t="str">
        <f>IF(Sheet1!D76&lt;&gt;"",Sheet1!D76,"")</f>
        <v/>
      </c>
      <c r="E69" s="31" t="str">
        <f>IF(Sheet1!E71&lt;&gt;0,Sheet1!E71,"")</f>
        <v/>
      </c>
      <c r="F69" s="31" t="str">
        <f>IF(B69&lt;&gt;"",Sheet1!F71,"")</f>
        <v/>
      </c>
      <c r="G69" s="31" t="str">
        <f>IF(B69&lt;&gt;"",Sheet1!G71,"")</f>
        <v/>
      </c>
      <c r="H69" s="31" t="str">
        <f>IF(C69&lt;&gt;"",Sheet1!H71,"")</f>
        <v/>
      </c>
      <c r="I69" s="30" t="str">
        <f>IF(C69&lt;&gt;"",Sheet1!I71,"")</f>
        <v/>
      </c>
    </row>
    <row r="70" spans="1:9">
      <c r="A70" s="30" t="str">
        <f t="shared" si="2"/>
        <v/>
      </c>
      <c r="B70" s="33" t="str">
        <f>IF(Sheet1!B77&lt;&gt;"",Sheet1!B77,"")</f>
        <v/>
      </c>
      <c r="C70" s="33" t="str">
        <f>IF(Sheet1!C77&lt;&gt;"",Sheet1!C77,"")</f>
        <v/>
      </c>
      <c r="D70" s="33" t="str">
        <f>IF(Sheet1!D77&lt;&gt;"",Sheet1!D77,"")</f>
        <v/>
      </c>
      <c r="E70" s="31" t="str">
        <f>IF(Sheet1!E72&lt;&gt;0,Sheet1!E72,"")</f>
        <v/>
      </c>
      <c r="F70" s="31" t="str">
        <f>IF(B70&lt;&gt;"",Sheet1!F72,"")</f>
        <v/>
      </c>
      <c r="G70" s="31" t="str">
        <f>IF(B70&lt;&gt;"",Sheet1!G72,"")</f>
        <v/>
      </c>
      <c r="H70" s="31" t="str">
        <f>IF(C70&lt;&gt;"",Sheet1!H72,"")</f>
        <v/>
      </c>
      <c r="I70" s="30" t="str">
        <f>IF(C70&lt;&gt;"",Sheet1!I72,"")</f>
        <v/>
      </c>
    </row>
    <row r="71" spans="1:9">
      <c r="A71" s="30" t="str">
        <f t="shared" si="2"/>
        <v/>
      </c>
      <c r="B71" s="33" t="str">
        <f>IF(Sheet1!B78&lt;&gt;"",Sheet1!B78,"")</f>
        <v/>
      </c>
      <c r="C71" s="33" t="str">
        <f>IF(Sheet1!C78&lt;&gt;"",Sheet1!C78,"")</f>
        <v/>
      </c>
      <c r="D71" s="33" t="str">
        <f>IF(Sheet1!D78&lt;&gt;"",Sheet1!D78,"")</f>
        <v/>
      </c>
      <c r="E71" s="31" t="str">
        <f>IF(Sheet1!E73&lt;&gt;0,Sheet1!E73,"")</f>
        <v/>
      </c>
      <c r="F71" s="31" t="str">
        <f>IF(B71&lt;&gt;"",Sheet1!F73,"")</f>
        <v/>
      </c>
      <c r="G71" s="31" t="str">
        <f>IF(B71&lt;&gt;"",Sheet1!G73,"")</f>
        <v/>
      </c>
      <c r="H71" s="31" t="str">
        <f>IF(C71&lt;&gt;"",Sheet1!H73,"")</f>
        <v/>
      </c>
      <c r="I71" s="30" t="str">
        <f>IF(C71&lt;&gt;"",Sheet1!I73,"")</f>
        <v/>
      </c>
    </row>
    <row r="72" spans="1:9">
      <c r="A72" s="30" t="str">
        <f t="shared" si="2"/>
        <v/>
      </c>
      <c r="B72" s="33" t="str">
        <f>IF(Sheet1!B79&lt;&gt;"",Sheet1!B79,"")</f>
        <v/>
      </c>
      <c r="C72" s="33" t="str">
        <f>IF(Sheet1!C79&lt;&gt;"",Sheet1!C79,"")</f>
        <v/>
      </c>
      <c r="D72" s="33" t="str">
        <f>IF(Sheet1!D79&lt;&gt;"",Sheet1!D79,"")</f>
        <v/>
      </c>
      <c r="E72" s="31" t="str">
        <f>IF(Sheet1!E74&lt;&gt;0,Sheet1!E74,"")</f>
        <v/>
      </c>
      <c r="F72" s="31" t="str">
        <f>IF(B72&lt;&gt;"",Sheet1!F74,"")</f>
        <v/>
      </c>
      <c r="G72" s="31" t="str">
        <f>IF(B72&lt;&gt;"",Sheet1!G74,"")</f>
        <v/>
      </c>
      <c r="H72" s="31" t="str">
        <f>IF(C72&lt;&gt;"",Sheet1!H74,"")</f>
        <v/>
      </c>
      <c r="I72" s="30" t="str">
        <f>IF(C72&lt;&gt;"",Sheet1!I74,"")</f>
        <v/>
      </c>
    </row>
    <row r="73" spans="1:9">
      <c r="A73" s="30" t="str">
        <f t="shared" si="2"/>
        <v/>
      </c>
      <c r="B73" s="33" t="str">
        <f>IF(Sheet1!B80&lt;&gt;"",Sheet1!B80,"")</f>
        <v/>
      </c>
      <c r="C73" s="33" t="str">
        <f>IF(Sheet1!C80&lt;&gt;"",Sheet1!C80,"")</f>
        <v/>
      </c>
      <c r="D73" s="33" t="str">
        <f>IF(Sheet1!D80&lt;&gt;"",Sheet1!D80,"")</f>
        <v/>
      </c>
      <c r="E73" s="31" t="str">
        <f>IF(Sheet1!E75&lt;&gt;0,Sheet1!E75,"")</f>
        <v/>
      </c>
      <c r="F73" s="31" t="str">
        <f>IF(B73&lt;&gt;"",Sheet1!F75,"")</f>
        <v/>
      </c>
      <c r="G73" s="31" t="str">
        <f>IF(B73&lt;&gt;"",Sheet1!G75,"")</f>
        <v/>
      </c>
      <c r="H73" s="31" t="str">
        <f>IF(C73&lt;&gt;"",Sheet1!H75,"")</f>
        <v/>
      </c>
      <c r="I73" s="30" t="str">
        <f>IF(C73&lt;&gt;"",Sheet1!I75,"")</f>
        <v/>
      </c>
    </row>
    <row r="74" spans="1:9">
      <c r="A74" s="30" t="str">
        <f t="shared" si="2"/>
        <v/>
      </c>
      <c r="B74" s="33" t="str">
        <f>IF(Sheet1!B81&lt;&gt;"",Sheet1!B81,"")</f>
        <v/>
      </c>
      <c r="C74" s="33" t="str">
        <f>IF(Sheet1!C81&lt;&gt;"",Sheet1!C81,"")</f>
        <v/>
      </c>
      <c r="D74" s="33" t="str">
        <f>IF(Sheet1!D81&lt;&gt;"",Sheet1!D81,"")</f>
        <v/>
      </c>
      <c r="E74" s="31" t="str">
        <f>IF(Sheet1!E76&lt;&gt;0,Sheet1!E76,"")</f>
        <v/>
      </c>
      <c r="F74" s="31" t="str">
        <f>IF(B74&lt;&gt;"",Sheet1!F76,"")</f>
        <v/>
      </c>
      <c r="G74" s="31" t="str">
        <f>IF(B74&lt;&gt;"",Sheet1!G76,"")</f>
        <v/>
      </c>
      <c r="H74" s="31" t="str">
        <f>IF(C74&lt;&gt;"",Sheet1!H76,"")</f>
        <v/>
      </c>
      <c r="I74" s="30" t="str">
        <f>IF(C74&lt;&gt;"",Sheet1!I76,"")</f>
        <v/>
      </c>
    </row>
    <row r="75" spans="1:9">
      <c r="A75" s="30" t="str">
        <f t="shared" si="2"/>
        <v/>
      </c>
      <c r="B75" s="33" t="str">
        <f>IF(Sheet1!B82&lt;&gt;"",Sheet1!B82,"")</f>
        <v/>
      </c>
      <c r="C75" s="33" t="str">
        <f>IF(Sheet1!C82&lt;&gt;"",Sheet1!C82,"")</f>
        <v/>
      </c>
      <c r="D75" s="33" t="str">
        <f>IF(Sheet1!D82&lt;&gt;"",Sheet1!D82,"")</f>
        <v/>
      </c>
      <c r="E75" s="31" t="str">
        <f>IF(Sheet1!E77&lt;&gt;0,Sheet1!E77,"")</f>
        <v/>
      </c>
      <c r="F75" s="31" t="str">
        <f>IF(B75&lt;&gt;"",Sheet1!F77,"")</f>
        <v/>
      </c>
      <c r="G75" s="31" t="str">
        <f>IF(B75&lt;&gt;"",Sheet1!G77,"")</f>
        <v/>
      </c>
      <c r="H75" s="31" t="str">
        <f>IF(C75&lt;&gt;"",Sheet1!H77,"")</f>
        <v/>
      </c>
      <c r="I75" s="30" t="str">
        <f>IF(C75&lt;&gt;"",Sheet1!I77,"")</f>
        <v/>
      </c>
    </row>
    <row r="76" spans="1:9">
      <c r="A76" s="30" t="str">
        <f t="shared" si="2"/>
        <v/>
      </c>
      <c r="B76" s="33" t="str">
        <f>IF(Sheet1!B83&lt;&gt;"",Sheet1!B83,"")</f>
        <v/>
      </c>
      <c r="C76" s="33" t="str">
        <f>IF(Sheet1!C83&lt;&gt;"",Sheet1!C83,"")</f>
        <v/>
      </c>
      <c r="D76" s="33" t="str">
        <f>IF(Sheet1!D83&lt;&gt;"",Sheet1!D83,"")</f>
        <v/>
      </c>
      <c r="E76" s="31" t="str">
        <f>IF(Sheet1!E78&lt;&gt;0,Sheet1!E78,"")</f>
        <v/>
      </c>
      <c r="F76" s="31" t="str">
        <f>IF(B76&lt;&gt;"",Sheet1!F78,"")</f>
        <v/>
      </c>
      <c r="G76" s="31" t="str">
        <f>IF(B76&lt;&gt;"",Sheet1!G78,"")</f>
        <v/>
      </c>
      <c r="H76" s="31" t="str">
        <f>IF(C76&lt;&gt;"",Sheet1!H78,"")</f>
        <v/>
      </c>
      <c r="I76" s="30" t="str">
        <f>IF(C76&lt;&gt;"",Sheet1!I78,"")</f>
        <v/>
      </c>
    </row>
    <row r="77" spans="1:9">
      <c r="A77" s="30" t="str">
        <f t="shared" si="2"/>
        <v/>
      </c>
      <c r="B77" s="33" t="str">
        <f>IF(Sheet1!B84&lt;&gt;"",Sheet1!B84,"")</f>
        <v/>
      </c>
      <c r="C77" s="33" t="str">
        <f>IF(Sheet1!C84&lt;&gt;"",Sheet1!C84,"")</f>
        <v/>
      </c>
      <c r="D77" s="33" t="str">
        <f>IF(Sheet1!D84&lt;&gt;"",Sheet1!D84,"")</f>
        <v/>
      </c>
      <c r="E77" s="31" t="str">
        <f>IF(Sheet1!E79&lt;&gt;0,Sheet1!E79,"")</f>
        <v/>
      </c>
      <c r="F77" s="31" t="str">
        <f>IF(B77&lt;&gt;"",Sheet1!F79,"")</f>
        <v/>
      </c>
      <c r="G77" s="31" t="str">
        <f>IF(B77&lt;&gt;"",Sheet1!G79,"")</f>
        <v/>
      </c>
      <c r="H77" s="31" t="str">
        <f>IF(C77&lt;&gt;"",Sheet1!H79,"")</f>
        <v/>
      </c>
      <c r="I77" s="30" t="str">
        <f>IF(C77&lt;&gt;"",Sheet1!I79,"")</f>
        <v/>
      </c>
    </row>
    <row r="78" spans="1:9">
      <c r="A78" s="30" t="str">
        <f t="shared" si="2"/>
        <v/>
      </c>
      <c r="B78" s="33" t="str">
        <f>IF(Sheet1!B85&lt;&gt;"",Sheet1!B85,"")</f>
        <v/>
      </c>
      <c r="C78" s="33" t="str">
        <f>IF(Sheet1!C85&lt;&gt;"",Sheet1!C85,"")</f>
        <v/>
      </c>
      <c r="D78" s="33" t="str">
        <f>IF(Sheet1!D85&lt;&gt;"",Sheet1!D85,"")</f>
        <v/>
      </c>
      <c r="E78" s="31" t="str">
        <f>IF(Sheet1!E80&lt;&gt;0,Sheet1!E80,"")</f>
        <v/>
      </c>
      <c r="F78" s="31" t="str">
        <f>IF(B78&lt;&gt;"",Sheet1!F80,"")</f>
        <v/>
      </c>
      <c r="G78" s="31" t="str">
        <f>IF(B78&lt;&gt;"",Sheet1!G80,"")</f>
        <v/>
      </c>
      <c r="H78" s="31" t="str">
        <f>IF(C78&lt;&gt;"",Sheet1!H80,"")</f>
        <v/>
      </c>
      <c r="I78" s="30" t="str">
        <f>IF(C78&lt;&gt;"",Sheet1!I80,"")</f>
        <v/>
      </c>
    </row>
    <row r="79" spans="1:9">
      <c r="A79" s="30" t="str">
        <f t="shared" si="2"/>
        <v/>
      </c>
      <c r="B79" s="33" t="str">
        <f>IF(Sheet1!B86&lt;&gt;"",Sheet1!B86,"")</f>
        <v/>
      </c>
      <c r="C79" s="33" t="str">
        <f>IF(Sheet1!C86&lt;&gt;"",Sheet1!C86,"")</f>
        <v/>
      </c>
      <c r="D79" s="33" t="str">
        <f>IF(Sheet1!D86&lt;&gt;"",Sheet1!D86,"")</f>
        <v/>
      </c>
      <c r="E79" s="31" t="str">
        <f>IF(Sheet1!E81&lt;&gt;0,Sheet1!E81,"")</f>
        <v/>
      </c>
      <c r="F79" s="31" t="str">
        <f>IF(B79&lt;&gt;"",Sheet1!F81,"")</f>
        <v/>
      </c>
      <c r="G79" s="31" t="str">
        <f>IF(B79&lt;&gt;"",Sheet1!G81,"")</f>
        <v/>
      </c>
      <c r="H79" s="31" t="str">
        <f>IF(C79&lt;&gt;"",Sheet1!H81,"")</f>
        <v/>
      </c>
      <c r="I79" s="30" t="str">
        <f>IF(C79&lt;&gt;"",Sheet1!I81,"")</f>
        <v/>
      </c>
    </row>
    <row r="80" spans="1:9">
      <c r="A80" s="30" t="str">
        <f t="shared" si="2"/>
        <v/>
      </c>
      <c r="B80" s="33" t="str">
        <f>IF(Sheet1!B87&lt;&gt;"",Sheet1!B87,"")</f>
        <v/>
      </c>
      <c r="C80" s="33" t="str">
        <f>IF(Sheet1!C87&lt;&gt;"",Sheet1!C87,"")</f>
        <v/>
      </c>
      <c r="D80" s="33" t="str">
        <f>IF(Sheet1!D87&lt;&gt;"",Sheet1!D87,"")</f>
        <v/>
      </c>
      <c r="E80" s="31" t="str">
        <f>IF(Sheet1!E82&lt;&gt;0,Sheet1!E82,"")</f>
        <v/>
      </c>
      <c r="F80" s="31" t="str">
        <f>IF(B80&lt;&gt;"",Sheet1!F82,"")</f>
        <v/>
      </c>
      <c r="G80" s="31" t="str">
        <f>IF(B80&lt;&gt;"",Sheet1!G82,"")</f>
        <v/>
      </c>
      <c r="H80" s="31" t="str">
        <f>IF(C80&lt;&gt;"",Sheet1!H82,"")</f>
        <v/>
      </c>
      <c r="I80" s="30" t="str">
        <f>IF(C80&lt;&gt;"",Sheet1!I82,"")</f>
        <v/>
      </c>
    </row>
    <row r="81" spans="1:9">
      <c r="A81" s="30" t="str">
        <f t="shared" si="2"/>
        <v/>
      </c>
      <c r="B81" s="33" t="str">
        <f>IF(Sheet1!B88&lt;&gt;"",Sheet1!B88,"")</f>
        <v/>
      </c>
      <c r="C81" s="33" t="str">
        <f>IF(Sheet1!C88&lt;&gt;"",Sheet1!C88,"")</f>
        <v/>
      </c>
      <c r="D81" s="33" t="str">
        <f>IF(Sheet1!D88&lt;&gt;"",Sheet1!D88,"")</f>
        <v/>
      </c>
      <c r="E81" s="31" t="str">
        <f>IF(Sheet1!E83&lt;&gt;0,Sheet1!E83,"")</f>
        <v/>
      </c>
      <c r="F81" s="31" t="str">
        <f>IF(B81&lt;&gt;"",Sheet1!F83,"")</f>
        <v/>
      </c>
      <c r="G81" s="31" t="str">
        <f>IF(B81&lt;&gt;"",Sheet1!G83,"")</f>
        <v/>
      </c>
      <c r="H81" s="31" t="str">
        <f>IF(C81&lt;&gt;"",Sheet1!H83,"")</f>
        <v/>
      </c>
      <c r="I81" s="30" t="str">
        <f>IF(C81&lt;&gt;"",Sheet1!I83,"")</f>
        <v/>
      </c>
    </row>
    <row r="82" spans="1:9">
      <c r="A82" s="30" t="str">
        <f t="shared" si="2"/>
        <v/>
      </c>
      <c r="B82" s="33" t="str">
        <f>IF(Sheet1!B89&lt;&gt;"",Sheet1!B89,"")</f>
        <v/>
      </c>
      <c r="C82" s="33" t="str">
        <f>IF(Sheet1!C89&lt;&gt;"",Sheet1!C89,"")</f>
        <v/>
      </c>
      <c r="D82" s="33" t="str">
        <f>IF(Sheet1!D89&lt;&gt;"",Sheet1!D89,"")</f>
        <v/>
      </c>
      <c r="E82" s="31" t="str">
        <f>IF(Sheet1!E84&lt;&gt;0,Sheet1!E84,"")</f>
        <v/>
      </c>
      <c r="F82" s="31" t="str">
        <f>IF(B82&lt;&gt;"",Sheet1!F84,"")</f>
        <v/>
      </c>
      <c r="G82" s="31" t="str">
        <f>IF(B82&lt;&gt;"",Sheet1!G84,"")</f>
        <v/>
      </c>
      <c r="H82" s="31" t="str">
        <f>IF(C82&lt;&gt;"",Sheet1!H84,"")</f>
        <v/>
      </c>
      <c r="I82" s="30" t="str">
        <f>IF(C82&lt;&gt;"",Sheet1!I84,"")</f>
        <v/>
      </c>
    </row>
    <row r="83" spans="1:9">
      <c r="A83" s="30" t="str">
        <f t="shared" si="2"/>
        <v/>
      </c>
      <c r="B83" s="33" t="str">
        <f>IF(Sheet1!B90&lt;&gt;"",Sheet1!B90,"")</f>
        <v/>
      </c>
      <c r="C83" s="33" t="str">
        <f>IF(Sheet1!C90&lt;&gt;"",Sheet1!C90,"")</f>
        <v/>
      </c>
      <c r="D83" s="33" t="str">
        <f>IF(Sheet1!D90&lt;&gt;"",Sheet1!D90,"")</f>
        <v/>
      </c>
      <c r="E83" s="31" t="str">
        <f>IF(Sheet1!E85&lt;&gt;0,Sheet1!E85,"")</f>
        <v/>
      </c>
      <c r="F83" s="31" t="str">
        <f>IF(B83&lt;&gt;"",Sheet1!F85,"")</f>
        <v/>
      </c>
      <c r="G83" s="31" t="str">
        <f>IF(B83&lt;&gt;"",Sheet1!G85,"")</f>
        <v/>
      </c>
      <c r="H83" s="31" t="str">
        <f>IF(C83&lt;&gt;"",Sheet1!H85,"")</f>
        <v/>
      </c>
      <c r="I83" s="30" t="str">
        <f>IF(C83&lt;&gt;"",Sheet1!I85,"")</f>
        <v/>
      </c>
    </row>
    <row r="84" spans="1:9">
      <c r="A84" s="30" t="str">
        <f t="shared" si="2"/>
        <v/>
      </c>
      <c r="B84" s="33" t="str">
        <f>IF(Sheet1!B91&lt;&gt;"",Sheet1!B91,"")</f>
        <v/>
      </c>
      <c r="C84" s="33" t="str">
        <f>IF(Sheet1!C91&lt;&gt;"",Sheet1!C91,"")</f>
        <v/>
      </c>
      <c r="D84" s="33" t="str">
        <f>IF(Sheet1!D91&lt;&gt;"",Sheet1!D91,"")</f>
        <v/>
      </c>
      <c r="E84" s="31" t="str">
        <f>IF(Sheet1!E86&lt;&gt;0,Sheet1!E86,"")</f>
        <v/>
      </c>
      <c r="F84" s="31" t="str">
        <f>IF(B84&lt;&gt;"",Sheet1!F86,"")</f>
        <v/>
      </c>
      <c r="G84" s="31" t="str">
        <f>IF(B84&lt;&gt;"",Sheet1!G86,"")</f>
        <v/>
      </c>
      <c r="H84" s="31" t="str">
        <f>IF(C84&lt;&gt;"",Sheet1!H86,"")</f>
        <v/>
      </c>
      <c r="I84" s="30" t="str">
        <f>IF(C84&lt;&gt;"",Sheet1!I86,"")</f>
        <v/>
      </c>
    </row>
    <row r="85" spans="1:9">
      <c r="A85" s="30" t="str">
        <f t="shared" si="2"/>
        <v/>
      </c>
      <c r="B85" s="33" t="str">
        <f>IF(Sheet1!B92&lt;&gt;"",Sheet1!B92,"")</f>
        <v/>
      </c>
      <c r="C85" s="33" t="str">
        <f>IF(Sheet1!C92&lt;&gt;"",Sheet1!C92,"")</f>
        <v/>
      </c>
      <c r="D85" s="33" t="str">
        <f>IF(Sheet1!D92&lt;&gt;"",Sheet1!D92,"")</f>
        <v/>
      </c>
      <c r="E85" s="31" t="str">
        <f>IF(Sheet1!E87&lt;&gt;0,Sheet1!E87,"")</f>
        <v/>
      </c>
      <c r="F85" s="31" t="str">
        <f>IF(B85&lt;&gt;"",Sheet1!F87,"")</f>
        <v/>
      </c>
      <c r="G85" s="31" t="str">
        <f>IF(B85&lt;&gt;"",Sheet1!G87,"")</f>
        <v/>
      </c>
      <c r="H85" s="31" t="str">
        <f>IF(C85&lt;&gt;"",Sheet1!H87,"")</f>
        <v/>
      </c>
      <c r="I85" s="30" t="str">
        <f>IF(C85&lt;&gt;"",Sheet1!I87,"")</f>
        <v/>
      </c>
    </row>
    <row r="86" spans="1:9">
      <c r="A86" s="30" t="str">
        <f t="shared" si="2"/>
        <v/>
      </c>
      <c r="B86" s="33" t="str">
        <f>IF(Sheet1!B93&lt;&gt;"",Sheet1!B93,"")</f>
        <v/>
      </c>
      <c r="C86" s="33" t="str">
        <f>IF(Sheet1!C93&lt;&gt;"",Sheet1!C93,"")</f>
        <v/>
      </c>
      <c r="D86" s="33" t="str">
        <f>IF(Sheet1!D93&lt;&gt;"",Sheet1!D93,"")</f>
        <v/>
      </c>
      <c r="E86" s="31" t="str">
        <f>IF(Sheet1!E88&lt;&gt;0,Sheet1!E88,"")</f>
        <v/>
      </c>
      <c r="F86" s="31" t="str">
        <f>IF(B86&lt;&gt;"",Sheet1!F88,"")</f>
        <v/>
      </c>
      <c r="G86" s="31" t="str">
        <f>IF(B86&lt;&gt;"",Sheet1!G88,"")</f>
        <v/>
      </c>
      <c r="H86" s="31" t="str">
        <f>IF(C86&lt;&gt;"",Sheet1!H88,"")</f>
        <v/>
      </c>
      <c r="I86" s="30" t="str">
        <f>IF(C86&lt;&gt;"",Sheet1!I88,"")</f>
        <v/>
      </c>
    </row>
    <row r="87" spans="1:9">
      <c r="A87" s="30" t="str">
        <f t="shared" si="2"/>
        <v/>
      </c>
      <c r="B87" s="33" t="str">
        <f>IF(Sheet1!B94&lt;&gt;"",Sheet1!B94,"")</f>
        <v/>
      </c>
      <c r="C87" s="33" t="str">
        <f>IF(Sheet1!C94&lt;&gt;"",Sheet1!C94,"")</f>
        <v/>
      </c>
      <c r="D87" s="33" t="str">
        <f>IF(Sheet1!D94&lt;&gt;"",Sheet1!D94,"")</f>
        <v/>
      </c>
      <c r="E87" s="31" t="str">
        <f>IF(Sheet1!E89&lt;&gt;0,Sheet1!E89,"")</f>
        <v/>
      </c>
      <c r="F87" s="31" t="str">
        <f>IF(B87&lt;&gt;"",Sheet1!F89,"")</f>
        <v/>
      </c>
      <c r="G87" s="31" t="str">
        <f>IF(B87&lt;&gt;"",Sheet1!G89,"")</f>
        <v/>
      </c>
      <c r="H87" s="31" t="str">
        <f>IF(C87&lt;&gt;"",Sheet1!H89,"")</f>
        <v/>
      </c>
      <c r="I87" s="30" t="str">
        <f>IF(C87&lt;&gt;"",Sheet1!I89,"")</f>
        <v/>
      </c>
    </row>
    <row r="88" spans="1:9">
      <c r="A88" s="30" t="str">
        <f t="shared" si="2"/>
        <v/>
      </c>
      <c r="B88" s="33" t="str">
        <f>IF(Sheet1!B95&lt;&gt;"",Sheet1!B95,"")</f>
        <v/>
      </c>
      <c r="C88" s="33" t="str">
        <f>IF(Sheet1!C95&lt;&gt;"",Sheet1!C95,"")</f>
        <v/>
      </c>
      <c r="D88" s="33" t="str">
        <f>IF(Sheet1!D95&lt;&gt;"",Sheet1!D95,"")</f>
        <v/>
      </c>
      <c r="E88" s="31" t="str">
        <f>IF(Sheet1!E90&lt;&gt;0,Sheet1!E90,"")</f>
        <v/>
      </c>
      <c r="F88" s="31" t="str">
        <f>IF(B88&lt;&gt;"",Sheet1!F90,"")</f>
        <v/>
      </c>
      <c r="G88" s="31" t="str">
        <f>IF(B88&lt;&gt;"",Sheet1!G90,"")</f>
        <v/>
      </c>
      <c r="H88" s="31" t="str">
        <f>IF(C88&lt;&gt;"",Sheet1!H90,"")</f>
        <v/>
      </c>
      <c r="I88" s="30" t="str">
        <f>IF(C88&lt;&gt;"",Sheet1!I90,"")</f>
        <v/>
      </c>
    </row>
    <row r="89" spans="1:9">
      <c r="A89" s="30" t="str">
        <f t="shared" si="2"/>
        <v/>
      </c>
      <c r="B89" s="33" t="str">
        <f>IF(Sheet1!B96&lt;&gt;"",Sheet1!B96,"")</f>
        <v/>
      </c>
      <c r="C89" s="33" t="str">
        <f>IF(Sheet1!C96&lt;&gt;"",Sheet1!C96,"")</f>
        <v/>
      </c>
      <c r="D89" s="33" t="str">
        <f>IF(Sheet1!D96&lt;&gt;"",Sheet1!D96,"")</f>
        <v/>
      </c>
      <c r="E89" s="31" t="str">
        <f>IF(Sheet1!E91&lt;&gt;0,Sheet1!E91,"")</f>
        <v/>
      </c>
      <c r="F89" s="31" t="str">
        <f>IF(B89&lt;&gt;"",Sheet1!F91,"")</f>
        <v/>
      </c>
      <c r="G89" s="31" t="str">
        <f>IF(B89&lt;&gt;"",Sheet1!G91,"")</f>
        <v/>
      </c>
      <c r="H89" s="31" t="str">
        <f>IF(C89&lt;&gt;"",Sheet1!H91,"")</f>
        <v/>
      </c>
      <c r="I89" s="30" t="str">
        <f>IF(C89&lt;&gt;"",Sheet1!I91,"")</f>
        <v/>
      </c>
    </row>
    <row r="90" spans="1:9">
      <c r="A90" s="30" t="str">
        <f t="shared" ref="A90:A121" si="3">IF(B90="","",IF(I90=0,"---",RANK(I90,$I$5:$I$164,0)))</f>
        <v/>
      </c>
      <c r="B90" s="33" t="str">
        <f>IF(Sheet1!B97&lt;&gt;"",Sheet1!B97,"")</f>
        <v/>
      </c>
      <c r="C90" s="33" t="str">
        <f>IF(Sheet1!C97&lt;&gt;"",Sheet1!C97,"")</f>
        <v/>
      </c>
      <c r="D90" s="33" t="str">
        <f>IF(Sheet1!D97&lt;&gt;"",Sheet1!D97,"")</f>
        <v/>
      </c>
      <c r="E90" s="31" t="str">
        <f>IF(Sheet1!E92&lt;&gt;0,Sheet1!E92,"")</f>
        <v/>
      </c>
      <c r="F90" s="31" t="str">
        <f>IF(B90&lt;&gt;"",Sheet1!F92,"")</f>
        <v/>
      </c>
      <c r="G90" s="31" t="str">
        <f>IF(B90&lt;&gt;"",Sheet1!G92,"")</f>
        <v/>
      </c>
      <c r="H90" s="31" t="str">
        <f>IF(C90&lt;&gt;"",Sheet1!H92,"")</f>
        <v/>
      </c>
      <c r="I90" s="30" t="str">
        <f>IF(C90&lt;&gt;"",Sheet1!I92,"")</f>
        <v/>
      </c>
    </row>
    <row r="91" spans="1:9">
      <c r="A91" s="30" t="str">
        <f t="shared" si="3"/>
        <v/>
      </c>
      <c r="B91" s="33" t="str">
        <f>IF(Sheet1!B98&lt;&gt;"",Sheet1!B98,"")</f>
        <v/>
      </c>
      <c r="C91" s="33" t="str">
        <f>IF(Sheet1!C98&lt;&gt;"",Sheet1!C98,"")</f>
        <v/>
      </c>
      <c r="D91" s="33" t="str">
        <f>IF(Sheet1!D98&lt;&gt;"",Sheet1!D98,"")</f>
        <v/>
      </c>
      <c r="E91" s="31" t="str">
        <f>IF(Sheet1!E93&lt;&gt;0,Sheet1!E93,"")</f>
        <v/>
      </c>
      <c r="F91" s="31" t="str">
        <f>IF(B91&lt;&gt;"",Sheet1!F93,"")</f>
        <v/>
      </c>
      <c r="G91" s="31" t="str">
        <f>IF(B91&lt;&gt;"",Sheet1!G93,"")</f>
        <v/>
      </c>
      <c r="H91" s="31" t="str">
        <f>IF(C91&lt;&gt;"",Sheet1!H93,"")</f>
        <v/>
      </c>
      <c r="I91" s="30" t="str">
        <f>IF(C91&lt;&gt;"",Sheet1!I93,"")</f>
        <v/>
      </c>
    </row>
    <row r="92" spans="1:9">
      <c r="A92" s="30" t="str">
        <f t="shared" si="3"/>
        <v/>
      </c>
      <c r="B92" s="33" t="str">
        <f>IF(Sheet1!B99&lt;&gt;"",Sheet1!B99,"")</f>
        <v/>
      </c>
      <c r="C92" s="33" t="str">
        <f>IF(Sheet1!C99&lt;&gt;"",Sheet1!C99,"")</f>
        <v/>
      </c>
      <c r="D92" s="33" t="str">
        <f>IF(Sheet1!D99&lt;&gt;"",Sheet1!D99,"")</f>
        <v/>
      </c>
      <c r="E92" s="31" t="str">
        <f>IF(Sheet1!E94&lt;&gt;0,Sheet1!E94,"")</f>
        <v/>
      </c>
      <c r="F92" s="31" t="str">
        <f>IF(B92&lt;&gt;"",Sheet1!F94,"")</f>
        <v/>
      </c>
      <c r="G92" s="31" t="str">
        <f>IF(B92&lt;&gt;"",Sheet1!G94,"")</f>
        <v/>
      </c>
      <c r="H92" s="31" t="str">
        <f>IF(C92&lt;&gt;"",Sheet1!H94,"")</f>
        <v/>
      </c>
      <c r="I92" s="30" t="str">
        <f>IF(C92&lt;&gt;"",Sheet1!I94,"")</f>
        <v/>
      </c>
    </row>
    <row r="93" spans="1:9">
      <c r="A93" s="30" t="str">
        <f t="shared" si="3"/>
        <v/>
      </c>
      <c r="B93" s="33" t="str">
        <f>IF(Sheet1!B100&lt;&gt;"",Sheet1!B100,"")</f>
        <v/>
      </c>
      <c r="C93" s="33" t="str">
        <f>IF(Sheet1!C100&lt;&gt;"",Sheet1!C100,"")</f>
        <v/>
      </c>
      <c r="D93" s="33" t="str">
        <f>IF(Sheet1!D100&lt;&gt;"",Sheet1!D100,"")</f>
        <v/>
      </c>
      <c r="E93" s="31" t="str">
        <f>IF(Sheet1!E95&lt;&gt;0,Sheet1!E95,"")</f>
        <v/>
      </c>
      <c r="F93" s="31" t="str">
        <f>IF(B93&lt;&gt;"",Sheet1!F95,"")</f>
        <v/>
      </c>
      <c r="G93" s="31" t="str">
        <f>IF(B93&lt;&gt;"",Sheet1!G95,"")</f>
        <v/>
      </c>
      <c r="H93" s="31" t="str">
        <f>IF(C93&lt;&gt;"",Sheet1!H95,"")</f>
        <v/>
      </c>
      <c r="I93" s="30" t="str">
        <f>IF(C93&lt;&gt;"",Sheet1!I95,"")</f>
        <v/>
      </c>
    </row>
    <row r="94" spans="1:9">
      <c r="A94" s="30" t="str">
        <f t="shared" si="3"/>
        <v/>
      </c>
      <c r="B94" s="33" t="str">
        <f>IF(Sheet1!B101&lt;&gt;"",Sheet1!B101,"")</f>
        <v/>
      </c>
      <c r="C94" s="33" t="str">
        <f>IF(Sheet1!C101&lt;&gt;"",Sheet1!C101,"")</f>
        <v/>
      </c>
      <c r="D94" s="33" t="str">
        <f>IF(Sheet1!D101&lt;&gt;"",Sheet1!D101,"")</f>
        <v/>
      </c>
      <c r="E94" s="31" t="str">
        <f>IF(Sheet1!E96&lt;&gt;0,Sheet1!E96,"")</f>
        <v/>
      </c>
      <c r="F94" s="31" t="str">
        <f>IF(B94&lt;&gt;"",Sheet1!F96,"")</f>
        <v/>
      </c>
      <c r="G94" s="31" t="str">
        <f>IF(B94&lt;&gt;"",Sheet1!G96,"")</f>
        <v/>
      </c>
      <c r="H94" s="31" t="str">
        <f>IF(C94&lt;&gt;"",Sheet1!H96,"")</f>
        <v/>
      </c>
      <c r="I94" s="30" t="str">
        <f>IF(C94&lt;&gt;"",Sheet1!I96,"")</f>
        <v/>
      </c>
    </row>
    <row r="95" spans="1:9">
      <c r="A95" s="30" t="str">
        <f t="shared" si="3"/>
        <v/>
      </c>
      <c r="B95" s="33" t="str">
        <f>IF(Sheet1!B102&lt;&gt;"",Sheet1!B102,"")</f>
        <v/>
      </c>
      <c r="C95" s="33" t="str">
        <f>IF(Sheet1!C102&lt;&gt;"",Sheet1!C102,"")</f>
        <v/>
      </c>
      <c r="D95" s="33" t="str">
        <f>IF(Sheet1!D102&lt;&gt;"",Sheet1!D102,"")</f>
        <v/>
      </c>
      <c r="E95" s="31" t="str">
        <f>IF(Sheet1!E97&lt;&gt;0,Sheet1!E97,"")</f>
        <v/>
      </c>
      <c r="F95" s="31" t="str">
        <f>IF(B95&lt;&gt;"",Sheet1!F97,"")</f>
        <v/>
      </c>
      <c r="G95" s="31" t="str">
        <f>IF(B95&lt;&gt;"",Sheet1!G97,"")</f>
        <v/>
      </c>
      <c r="H95" s="31" t="str">
        <f>IF(C95&lt;&gt;"",Sheet1!H97,"")</f>
        <v/>
      </c>
      <c r="I95" s="30" t="str">
        <f>IF(C95&lt;&gt;"",Sheet1!I97,"")</f>
        <v/>
      </c>
    </row>
    <row r="96" spans="1:9">
      <c r="A96" s="30" t="str">
        <f t="shared" si="3"/>
        <v/>
      </c>
      <c r="B96" s="33" t="str">
        <f>IF(Sheet1!B103&lt;&gt;"",Sheet1!B103,"")</f>
        <v/>
      </c>
      <c r="C96" s="33" t="str">
        <f>IF(Sheet1!C103&lt;&gt;"",Sheet1!C103,"")</f>
        <v/>
      </c>
      <c r="D96" s="33" t="str">
        <f>IF(Sheet1!D103&lt;&gt;"",Sheet1!D103,"")</f>
        <v/>
      </c>
      <c r="E96" s="31" t="str">
        <f>IF(Sheet1!E98&lt;&gt;0,Sheet1!E98,"")</f>
        <v/>
      </c>
      <c r="F96" s="31" t="str">
        <f>IF(B96&lt;&gt;"",Sheet1!F98,"")</f>
        <v/>
      </c>
      <c r="G96" s="31" t="str">
        <f>IF(B96&lt;&gt;"",Sheet1!G98,"")</f>
        <v/>
      </c>
      <c r="H96" s="31" t="str">
        <f>IF(C96&lt;&gt;"",Sheet1!H98,"")</f>
        <v/>
      </c>
      <c r="I96" s="30" t="str">
        <f>IF(C96&lt;&gt;"",Sheet1!I98,"")</f>
        <v/>
      </c>
    </row>
    <row r="97" spans="1:9">
      <c r="A97" s="30" t="str">
        <f t="shared" si="3"/>
        <v/>
      </c>
      <c r="B97" s="33" t="str">
        <f>IF(Sheet1!B104&lt;&gt;"",Sheet1!B104,"")</f>
        <v/>
      </c>
      <c r="C97" s="33" t="str">
        <f>IF(Sheet1!C104&lt;&gt;"",Sheet1!C104,"")</f>
        <v/>
      </c>
      <c r="D97" s="33" t="str">
        <f>IF(Sheet1!D104&lt;&gt;"",Sheet1!D104,"")</f>
        <v/>
      </c>
      <c r="E97" s="31" t="str">
        <f>IF(Sheet1!E99&lt;&gt;0,Sheet1!E99,"")</f>
        <v/>
      </c>
      <c r="F97" s="31" t="str">
        <f>IF(B97&lt;&gt;"",Sheet1!F99,"")</f>
        <v/>
      </c>
      <c r="G97" s="31" t="str">
        <f>IF(B97&lt;&gt;"",Sheet1!G99,"")</f>
        <v/>
      </c>
      <c r="H97" s="31" t="str">
        <f>IF(C97&lt;&gt;"",Sheet1!H99,"")</f>
        <v/>
      </c>
      <c r="I97" s="30" t="str">
        <f>IF(C97&lt;&gt;"",Sheet1!I99,"")</f>
        <v/>
      </c>
    </row>
    <row r="98" spans="1:9">
      <c r="A98" s="30" t="str">
        <f t="shared" si="3"/>
        <v/>
      </c>
      <c r="B98" s="33" t="str">
        <f>IF(Sheet1!B105&lt;&gt;"",Sheet1!B105,"")</f>
        <v/>
      </c>
      <c r="C98" s="33" t="str">
        <f>IF(Sheet1!C105&lt;&gt;"",Sheet1!C105,"")</f>
        <v/>
      </c>
      <c r="D98" s="33" t="str">
        <f>IF(Sheet1!D105&lt;&gt;"",Sheet1!D105,"")</f>
        <v/>
      </c>
      <c r="E98" s="31" t="str">
        <f>IF(Sheet1!E100&lt;&gt;0,Sheet1!E100,"")</f>
        <v/>
      </c>
      <c r="F98" s="31" t="str">
        <f>IF(B98&lt;&gt;"",Sheet1!F100,"")</f>
        <v/>
      </c>
      <c r="G98" s="31" t="str">
        <f>IF(B98&lt;&gt;"",Sheet1!G100,"")</f>
        <v/>
      </c>
      <c r="H98" s="31" t="str">
        <f>IF(C98&lt;&gt;"",Sheet1!H100,"")</f>
        <v/>
      </c>
      <c r="I98" s="30" t="str">
        <f>IF(C98&lt;&gt;"",Sheet1!I100,"")</f>
        <v/>
      </c>
    </row>
    <row r="99" spans="1:9">
      <c r="A99" s="30" t="str">
        <f t="shared" si="3"/>
        <v/>
      </c>
      <c r="B99" s="33" t="str">
        <f>IF(Sheet1!B106&lt;&gt;"",Sheet1!B106,"")</f>
        <v/>
      </c>
      <c r="C99" s="33" t="str">
        <f>IF(Sheet1!C106&lt;&gt;"",Sheet1!C106,"")</f>
        <v/>
      </c>
      <c r="D99" s="33" t="str">
        <f>IF(Sheet1!D106&lt;&gt;"",Sheet1!D106,"")</f>
        <v/>
      </c>
      <c r="E99" s="31" t="str">
        <f>IF(Sheet1!E101&lt;&gt;0,Sheet1!E101,"")</f>
        <v/>
      </c>
      <c r="F99" s="31" t="str">
        <f>IF(B99&lt;&gt;"",Sheet1!F101,"")</f>
        <v/>
      </c>
      <c r="G99" s="31" t="str">
        <f>IF(B99&lt;&gt;"",Sheet1!G101,"")</f>
        <v/>
      </c>
      <c r="H99" s="31" t="str">
        <f>IF(C99&lt;&gt;"",Sheet1!H101,"")</f>
        <v/>
      </c>
      <c r="I99" s="30" t="str">
        <f>IF(C99&lt;&gt;"",Sheet1!I101,"")</f>
        <v/>
      </c>
    </row>
    <row r="100" spans="1:9">
      <c r="A100" s="30" t="str">
        <f t="shared" si="3"/>
        <v/>
      </c>
      <c r="B100" s="33" t="str">
        <f>IF(Sheet1!B107&lt;&gt;"",Sheet1!B107,"")</f>
        <v/>
      </c>
      <c r="C100" s="33" t="str">
        <f>IF(Sheet1!C107&lt;&gt;"",Sheet1!C107,"")</f>
        <v/>
      </c>
      <c r="D100" s="33" t="str">
        <f>IF(Sheet1!D107&lt;&gt;"",Sheet1!D107,"")</f>
        <v/>
      </c>
      <c r="E100" s="31" t="str">
        <f>IF(Sheet1!E102&lt;&gt;0,Sheet1!E102,"")</f>
        <v/>
      </c>
      <c r="F100" s="31" t="str">
        <f>IF(B100&lt;&gt;"",Sheet1!F102,"")</f>
        <v/>
      </c>
      <c r="G100" s="31" t="str">
        <f>IF(B100&lt;&gt;"",Sheet1!G102,"")</f>
        <v/>
      </c>
      <c r="H100" s="31" t="str">
        <f>IF(C100&lt;&gt;"",Sheet1!H102,"")</f>
        <v/>
      </c>
      <c r="I100" s="30" t="str">
        <f>IF(C100&lt;&gt;"",Sheet1!I102,"")</f>
        <v/>
      </c>
    </row>
    <row r="101" spans="1:9">
      <c r="A101" s="30" t="str">
        <f t="shared" si="3"/>
        <v/>
      </c>
      <c r="B101" s="33" t="str">
        <f>IF(Sheet1!B108&lt;&gt;"",Sheet1!B108,"")</f>
        <v/>
      </c>
      <c r="C101" s="33" t="str">
        <f>IF(Sheet1!C108&lt;&gt;"",Sheet1!C108,"")</f>
        <v/>
      </c>
      <c r="D101" s="33" t="str">
        <f>IF(Sheet1!D108&lt;&gt;"",Sheet1!D108,"")</f>
        <v/>
      </c>
      <c r="E101" s="31" t="str">
        <f>IF(Sheet1!E103&lt;&gt;0,Sheet1!E103,"")</f>
        <v/>
      </c>
      <c r="F101" s="31" t="str">
        <f>IF(B101&lt;&gt;"",Sheet1!F103,"")</f>
        <v/>
      </c>
      <c r="G101" s="31" t="str">
        <f>IF(B101&lt;&gt;"",Sheet1!G103,"")</f>
        <v/>
      </c>
      <c r="H101" s="31" t="str">
        <f>IF(C101&lt;&gt;"",Sheet1!H103,"")</f>
        <v/>
      </c>
      <c r="I101" s="30" t="str">
        <f>IF(C101&lt;&gt;"",Sheet1!I103,"")</f>
        <v/>
      </c>
    </row>
    <row r="102" spans="1:9">
      <c r="A102" s="30" t="str">
        <f t="shared" si="3"/>
        <v/>
      </c>
      <c r="B102" s="33" t="str">
        <f>IF(Sheet1!B109&lt;&gt;"",Sheet1!B109,"")</f>
        <v/>
      </c>
      <c r="C102" s="33" t="str">
        <f>IF(Sheet1!C109&lt;&gt;"",Sheet1!C109,"")</f>
        <v/>
      </c>
      <c r="D102" s="33" t="str">
        <f>IF(Sheet1!D109&lt;&gt;"",Sheet1!D109,"")</f>
        <v/>
      </c>
      <c r="E102" s="31" t="str">
        <f>IF(Sheet1!E104&lt;&gt;0,Sheet1!E104,"")</f>
        <v/>
      </c>
      <c r="F102" s="31" t="str">
        <f>IF(B102&lt;&gt;"",Sheet1!F104,"")</f>
        <v/>
      </c>
      <c r="G102" s="31" t="str">
        <f>IF(B102&lt;&gt;"",Sheet1!G104,"")</f>
        <v/>
      </c>
      <c r="H102" s="31" t="str">
        <f>IF(C102&lt;&gt;"",Sheet1!H104,"")</f>
        <v/>
      </c>
      <c r="I102" s="30" t="str">
        <f>IF(C102&lt;&gt;"",Sheet1!I104,"")</f>
        <v/>
      </c>
    </row>
    <row r="103" spans="1:9">
      <c r="A103" s="30" t="str">
        <f t="shared" si="3"/>
        <v/>
      </c>
      <c r="B103" s="33" t="str">
        <f>IF(Sheet1!B110&lt;&gt;"",Sheet1!B110,"")</f>
        <v/>
      </c>
      <c r="C103" s="33" t="str">
        <f>IF(Sheet1!C110&lt;&gt;"",Sheet1!C110,"")</f>
        <v/>
      </c>
      <c r="D103" s="33" t="str">
        <f>IF(Sheet1!D110&lt;&gt;"",Sheet1!D110,"")</f>
        <v/>
      </c>
      <c r="E103" s="31" t="str">
        <f>IF(Sheet1!E105&lt;&gt;0,Sheet1!E105,"")</f>
        <v/>
      </c>
      <c r="F103" s="31" t="str">
        <f>IF(B103&lt;&gt;"",Sheet1!F105,"")</f>
        <v/>
      </c>
      <c r="G103" s="31" t="str">
        <f>IF(B103&lt;&gt;"",Sheet1!G105,"")</f>
        <v/>
      </c>
      <c r="H103" s="31" t="str">
        <f>IF(C103&lt;&gt;"",Sheet1!H105,"")</f>
        <v/>
      </c>
      <c r="I103" s="30" t="str">
        <f>IF(C103&lt;&gt;"",Sheet1!I105,"")</f>
        <v/>
      </c>
    </row>
    <row r="104" spans="1:9">
      <c r="A104" s="30" t="str">
        <f t="shared" si="3"/>
        <v/>
      </c>
      <c r="B104" s="33" t="str">
        <f>IF(Sheet1!B111&lt;&gt;"",Sheet1!B111,"")</f>
        <v/>
      </c>
      <c r="C104" s="33" t="str">
        <f>IF(Sheet1!C111&lt;&gt;"",Sheet1!C111,"")</f>
        <v/>
      </c>
      <c r="D104" s="33" t="str">
        <f>IF(Sheet1!D111&lt;&gt;"",Sheet1!D111,"")</f>
        <v/>
      </c>
      <c r="E104" s="31" t="str">
        <f>IF(Sheet1!E106&lt;&gt;0,Sheet1!E106,"")</f>
        <v/>
      </c>
      <c r="F104" s="31" t="str">
        <f>IF(B104&lt;&gt;"",Sheet1!F106,"")</f>
        <v/>
      </c>
      <c r="G104" s="31" t="str">
        <f>IF(B104&lt;&gt;"",Sheet1!G106,"")</f>
        <v/>
      </c>
      <c r="H104" s="31" t="str">
        <f>IF(C104&lt;&gt;"",Sheet1!H106,"")</f>
        <v/>
      </c>
      <c r="I104" s="30" t="str">
        <f>IF(C104&lt;&gt;"",Sheet1!I106,"")</f>
        <v/>
      </c>
    </row>
    <row r="105" spans="1:9">
      <c r="A105" s="30" t="str">
        <f t="shared" si="3"/>
        <v/>
      </c>
      <c r="B105" s="33" t="str">
        <f>IF(Sheet1!B112&lt;&gt;"",Sheet1!B112,"")</f>
        <v/>
      </c>
      <c r="C105" s="33" t="str">
        <f>IF(Sheet1!C112&lt;&gt;"",Sheet1!C112,"")</f>
        <v/>
      </c>
      <c r="D105" s="33" t="str">
        <f>IF(Sheet1!D112&lt;&gt;"",Sheet1!D112,"")</f>
        <v/>
      </c>
      <c r="E105" s="31" t="str">
        <f>IF(Sheet1!E107&lt;&gt;0,Sheet1!E107,"")</f>
        <v/>
      </c>
      <c r="F105" s="31" t="str">
        <f>IF(B105&lt;&gt;"",Sheet1!F107,"")</f>
        <v/>
      </c>
      <c r="G105" s="31" t="str">
        <f>IF(B105&lt;&gt;"",Sheet1!G107,"")</f>
        <v/>
      </c>
      <c r="H105" s="31" t="str">
        <f>IF(C105&lt;&gt;"",Sheet1!H107,"")</f>
        <v/>
      </c>
      <c r="I105" s="30" t="str">
        <f>IF(C105&lt;&gt;"",Sheet1!I107,"")</f>
        <v/>
      </c>
    </row>
    <row r="106" spans="1:9">
      <c r="A106" s="30" t="str">
        <f t="shared" si="3"/>
        <v/>
      </c>
      <c r="B106" s="33" t="str">
        <f>IF(Sheet1!B113&lt;&gt;"",Sheet1!B113,"")</f>
        <v/>
      </c>
      <c r="C106" s="33" t="str">
        <f>IF(Sheet1!C113&lt;&gt;"",Sheet1!C113,"")</f>
        <v/>
      </c>
      <c r="D106" s="33" t="str">
        <f>IF(Sheet1!D113&lt;&gt;"",Sheet1!D113,"")</f>
        <v/>
      </c>
      <c r="E106" s="31" t="str">
        <f>IF(Sheet1!E108&lt;&gt;0,Sheet1!E108,"")</f>
        <v/>
      </c>
      <c r="F106" s="31" t="str">
        <f>IF(B106&lt;&gt;"",Sheet1!F108,"")</f>
        <v/>
      </c>
      <c r="G106" s="31" t="str">
        <f>IF(B106&lt;&gt;"",Sheet1!G108,"")</f>
        <v/>
      </c>
      <c r="H106" s="31" t="str">
        <f>IF(C106&lt;&gt;"",Sheet1!H108,"")</f>
        <v/>
      </c>
      <c r="I106" s="30" t="str">
        <f>IF(C106&lt;&gt;"",Sheet1!I108,"")</f>
        <v/>
      </c>
    </row>
    <row r="107" spans="1:9">
      <c r="A107" s="30" t="str">
        <f t="shared" si="3"/>
        <v/>
      </c>
      <c r="B107" s="33" t="str">
        <f>IF(Sheet1!B114&lt;&gt;"",Sheet1!B114,"")</f>
        <v/>
      </c>
      <c r="C107" s="33" t="str">
        <f>IF(Sheet1!C114&lt;&gt;"",Sheet1!C114,"")</f>
        <v/>
      </c>
      <c r="D107" s="33" t="str">
        <f>IF(Sheet1!D114&lt;&gt;"",Sheet1!D114,"")</f>
        <v/>
      </c>
      <c r="E107" s="31" t="str">
        <f>IF(Sheet1!E109&lt;&gt;0,Sheet1!E109,"")</f>
        <v/>
      </c>
      <c r="F107" s="31" t="str">
        <f>IF(B107&lt;&gt;"",Sheet1!F109,"")</f>
        <v/>
      </c>
      <c r="G107" s="31" t="str">
        <f>IF(B107&lt;&gt;"",Sheet1!G109,"")</f>
        <v/>
      </c>
      <c r="H107" s="31" t="str">
        <f>IF(C107&lt;&gt;"",Sheet1!H109,"")</f>
        <v/>
      </c>
      <c r="I107" s="30" t="str">
        <f>IF(C107&lt;&gt;"",Sheet1!I109,"")</f>
        <v/>
      </c>
    </row>
    <row r="108" spans="1:9">
      <c r="A108" s="30" t="str">
        <f t="shared" si="3"/>
        <v/>
      </c>
      <c r="B108" s="33" t="str">
        <f>IF(Sheet1!B115&lt;&gt;"",Sheet1!B115,"")</f>
        <v/>
      </c>
      <c r="C108" s="33" t="str">
        <f>IF(Sheet1!C115&lt;&gt;"",Sheet1!C115,"")</f>
        <v/>
      </c>
      <c r="D108" s="33" t="str">
        <f>IF(Sheet1!D115&lt;&gt;"",Sheet1!D115,"")</f>
        <v/>
      </c>
      <c r="E108" s="31" t="str">
        <f>IF(Sheet1!E110&lt;&gt;0,Sheet1!E110,"")</f>
        <v/>
      </c>
      <c r="F108" s="31" t="str">
        <f>IF(B108&lt;&gt;"",Sheet1!F110,"")</f>
        <v/>
      </c>
      <c r="G108" s="31" t="str">
        <f>IF(B108&lt;&gt;"",Sheet1!G110,"")</f>
        <v/>
      </c>
      <c r="H108" s="31" t="str">
        <f>IF(C108&lt;&gt;"",Sheet1!H110,"")</f>
        <v/>
      </c>
      <c r="I108" s="30" t="str">
        <f>IF(C108&lt;&gt;"",Sheet1!I110,"")</f>
        <v/>
      </c>
    </row>
    <row r="109" spans="1:9">
      <c r="A109" s="30" t="str">
        <f t="shared" si="3"/>
        <v/>
      </c>
      <c r="B109" s="33" t="str">
        <f>IF(Sheet1!B116&lt;&gt;"",Sheet1!B116,"")</f>
        <v/>
      </c>
      <c r="C109" s="33" t="str">
        <f>IF(Sheet1!C116&lt;&gt;"",Sheet1!C116,"")</f>
        <v/>
      </c>
      <c r="D109" s="33" t="str">
        <f>IF(Sheet1!D116&lt;&gt;"",Sheet1!D116,"")</f>
        <v/>
      </c>
      <c r="E109" s="31" t="str">
        <f>IF(Sheet1!E111&lt;&gt;0,Sheet1!E111,"")</f>
        <v/>
      </c>
      <c r="F109" s="31" t="str">
        <f>IF(B109&lt;&gt;"",Sheet1!F111,"")</f>
        <v/>
      </c>
      <c r="G109" s="31" t="str">
        <f>IF(B109&lt;&gt;"",Sheet1!G111,"")</f>
        <v/>
      </c>
      <c r="H109" s="31" t="str">
        <f>IF(C109&lt;&gt;"",Sheet1!H111,"")</f>
        <v/>
      </c>
      <c r="I109" s="30" t="str">
        <f>IF(C109&lt;&gt;"",Sheet1!I111,"")</f>
        <v/>
      </c>
    </row>
    <row r="110" spans="1:9">
      <c r="A110" s="30" t="str">
        <f t="shared" si="3"/>
        <v/>
      </c>
      <c r="B110" s="33" t="str">
        <f>IF(Sheet1!B117&lt;&gt;"",Sheet1!B117,"")</f>
        <v/>
      </c>
      <c r="C110" s="33" t="str">
        <f>IF(Sheet1!C117&lt;&gt;"",Sheet1!C117,"")</f>
        <v/>
      </c>
      <c r="D110" s="33" t="str">
        <f>IF(Sheet1!D117&lt;&gt;"",Sheet1!D117,"")</f>
        <v/>
      </c>
      <c r="E110" s="31" t="str">
        <f>IF(Sheet1!E112&lt;&gt;0,Sheet1!E112,"")</f>
        <v/>
      </c>
      <c r="F110" s="31" t="str">
        <f>IF(B110&lt;&gt;"",Sheet1!F112,"")</f>
        <v/>
      </c>
      <c r="G110" s="31" t="str">
        <f>IF(B110&lt;&gt;"",Sheet1!G112,"")</f>
        <v/>
      </c>
      <c r="H110" s="31" t="str">
        <f>IF(C110&lt;&gt;"",Sheet1!H112,"")</f>
        <v/>
      </c>
      <c r="I110" s="30" t="str">
        <f>IF(C110&lt;&gt;"",Sheet1!I112,"")</f>
        <v/>
      </c>
    </row>
    <row r="111" spans="1:9">
      <c r="A111" s="30" t="str">
        <f t="shared" si="3"/>
        <v/>
      </c>
      <c r="B111" s="33" t="str">
        <f>IF(Sheet1!B118&lt;&gt;"",Sheet1!B118,"")</f>
        <v/>
      </c>
      <c r="C111" s="33" t="str">
        <f>IF(Sheet1!C118&lt;&gt;"",Sheet1!C118,"")</f>
        <v/>
      </c>
      <c r="D111" s="33" t="str">
        <f>IF(Sheet1!D118&lt;&gt;"",Sheet1!D118,"")</f>
        <v/>
      </c>
      <c r="E111" s="31" t="str">
        <f>IF(Sheet1!E113&lt;&gt;0,Sheet1!E113,"")</f>
        <v/>
      </c>
      <c r="F111" s="31" t="str">
        <f>IF(B111&lt;&gt;"",Sheet1!F113,"")</f>
        <v/>
      </c>
      <c r="G111" s="31" t="str">
        <f>IF(B111&lt;&gt;"",Sheet1!G113,"")</f>
        <v/>
      </c>
      <c r="H111" s="31" t="str">
        <f>IF(C111&lt;&gt;"",Sheet1!H113,"")</f>
        <v/>
      </c>
      <c r="I111" s="30" t="str">
        <f>IF(C111&lt;&gt;"",Sheet1!I113,"")</f>
        <v/>
      </c>
    </row>
    <row r="112" spans="1:9">
      <c r="A112" s="30" t="str">
        <f t="shared" si="3"/>
        <v/>
      </c>
      <c r="B112" s="33" t="str">
        <f>IF(Sheet1!B119&lt;&gt;"",Sheet1!B119,"")</f>
        <v/>
      </c>
      <c r="C112" s="33" t="str">
        <f>IF(Sheet1!C119&lt;&gt;"",Sheet1!C119,"")</f>
        <v/>
      </c>
      <c r="D112" s="33" t="str">
        <f>IF(Sheet1!D119&lt;&gt;"",Sheet1!D119,"")</f>
        <v/>
      </c>
      <c r="E112" s="31" t="str">
        <f>IF(Sheet1!E114&lt;&gt;0,Sheet1!E114,"")</f>
        <v/>
      </c>
      <c r="F112" s="31" t="str">
        <f>IF(B112&lt;&gt;"",Sheet1!F114,"")</f>
        <v/>
      </c>
      <c r="G112" s="31" t="str">
        <f>IF(B112&lt;&gt;"",Sheet1!G114,"")</f>
        <v/>
      </c>
      <c r="H112" s="31" t="str">
        <f>IF(C112&lt;&gt;"",Sheet1!H114,"")</f>
        <v/>
      </c>
      <c r="I112" s="30" t="str">
        <f>IF(C112&lt;&gt;"",Sheet1!I114,"")</f>
        <v/>
      </c>
    </row>
    <row r="113" spans="1:9">
      <c r="A113" s="30" t="str">
        <f t="shared" si="3"/>
        <v/>
      </c>
      <c r="B113" s="33" t="str">
        <f>IF(Sheet1!B120&lt;&gt;"",Sheet1!B120,"")</f>
        <v/>
      </c>
      <c r="C113" s="33" t="str">
        <f>IF(Sheet1!C120&lt;&gt;"",Sheet1!C120,"")</f>
        <v/>
      </c>
      <c r="D113" s="33" t="str">
        <f>IF(Sheet1!D120&lt;&gt;"",Sheet1!D120,"")</f>
        <v/>
      </c>
      <c r="E113" s="31" t="str">
        <f>IF(Sheet1!E115&lt;&gt;0,Sheet1!E115,"")</f>
        <v/>
      </c>
      <c r="F113" s="31" t="str">
        <f>IF(B113&lt;&gt;"",Sheet1!F115,"")</f>
        <v/>
      </c>
      <c r="G113" s="31" t="str">
        <f>IF(B113&lt;&gt;"",Sheet1!G115,"")</f>
        <v/>
      </c>
      <c r="H113" s="31" t="str">
        <f>IF(C113&lt;&gt;"",Sheet1!H115,"")</f>
        <v/>
      </c>
      <c r="I113" s="30" t="str">
        <f>IF(C113&lt;&gt;"",Sheet1!I115,"")</f>
        <v/>
      </c>
    </row>
    <row r="114" spans="1:9">
      <c r="A114" s="30" t="str">
        <f t="shared" si="3"/>
        <v/>
      </c>
      <c r="B114" s="33" t="str">
        <f>IF(Sheet1!B121&lt;&gt;"",Sheet1!B121,"")</f>
        <v/>
      </c>
      <c r="C114" s="33" t="str">
        <f>IF(Sheet1!C121&lt;&gt;"",Sheet1!C121,"")</f>
        <v/>
      </c>
      <c r="D114" s="33" t="str">
        <f>IF(Sheet1!D121&lt;&gt;"",Sheet1!D121,"")</f>
        <v/>
      </c>
      <c r="E114" s="31" t="str">
        <f>IF(Sheet1!E116&lt;&gt;0,Sheet1!E116,"")</f>
        <v/>
      </c>
      <c r="F114" s="31" t="str">
        <f>IF(B114&lt;&gt;"",Sheet1!F116,"")</f>
        <v/>
      </c>
      <c r="G114" s="31" t="str">
        <f>IF(B114&lt;&gt;"",Sheet1!G116,"")</f>
        <v/>
      </c>
      <c r="H114" s="31" t="str">
        <f>IF(C114&lt;&gt;"",Sheet1!H116,"")</f>
        <v/>
      </c>
      <c r="I114" s="30" t="str">
        <f>IF(C114&lt;&gt;"",Sheet1!I116,"")</f>
        <v/>
      </c>
    </row>
    <row r="115" spans="1:9">
      <c r="A115" s="30" t="str">
        <f t="shared" si="3"/>
        <v/>
      </c>
      <c r="B115" s="33" t="str">
        <f>IF(Sheet1!B122&lt;&gt;"",Sheet1!B122,"")</f>
        <v/>
      </c>
      <c r="C115" s="33" t="str">
        <f>IF(Sheet1!C122&lt;&gt;"",Sheet1!C122,"")</f>
        <v/>
      </c>
      <c r="D115" s="33" t="str">
        <f>IF(Sheet1!D122&lt;&gt;"",Sheet1!D122,"")</f>
        <v/>
      </c>
      <c r="E115" s="31" t="str">
        <f>IF(Sheet1!E117&lt;&gt;0,Sheet1!E117,"")</f>
        <v/>
      </c>
      <c r="F115" s="31" t="str">
        <f>IF(B115&lt;&gt;"",Sheet1!F117,"")</f>
        <v/>
      </c>
      <c r="G115" s="31" t="str">
        <f>IF(B115&lt;&gt;"",Sheet1!G117,"")</f>
        <v/>
      </c>
      <c r="H115" s="31" t="str">
        <f>IF(C115&lt;&gt;"",Sheet1!H117,"")</f>
        <v/>
      </c>
      <c r="I115" s="30" t="str">
        <f>IF(C115&lt;&gt;"",Sheet1!I117,"")</f>
        <v/>
      </c>
    </row>
    <row r="116" spans="1:9">
      <c r="A116" s="30" t="str">
        <f t="shared" si="3"/>
        <v/>
      </c>
      <c r="B116" s="33" t="str">
        <f>IF(Sheet1!B123&lt;&gt;"",Sheet1!B123,"")</f>
        <v/>
      </c>
      <c r="C116" s="33" t="str">
        <f>IF(Sheet1!C123&lt;&gt;"",Sheet1!C123,"")</f>
        <v/>
      </c>
      <c r="D116" s="33" t="str">
        <f>IF(Sheet1!D123&lt;&gt;"",Sheet1!D123,"")</f>
        <v/>
      </c>
      <c r="E116" s="31" t="str">
        <f>IF(Sheet1!E118&lt;&gt;0,Sheet1!E118,"")</f>
        <v/>
      </c>
      <c r="F116" s="31" t="str">
        <f>IF(B116&lt;&gt;"",Sheet1!F118,"")</f>
        <v/>
      </c>
      <c r="G116" s="31" t="str">
        <f>IF(B116&lt;&gt;"",Sheet1!G118,"")</f>
        <v/>
      </c>
      <c r="H116" s="31" t="str">
        <f>IF(C116&lt;&gt;"",Sheet1!H118,"")</f>
        <v/>
      </c>
      <c r="I116" s="30" t="str">
        <f>IF(C116&lt;&gt;"",Sheet1!I118,"")</f>
        <v/>
      </c>
    </row>
    <row r="117" spans="1:9">
      <c r="A117" s="30" t="str">
        <f t="shared" si="3"/>
        <v/>
      </c>
      <c r="B117" s="33" t="str">
        <f>IF(Sheet1!B124&lt;&gt;"",Sheet1!B124,"")</f>
        <v/>
      </c>
      <c r="C117" s="33" t="str">
        <f>IF(Sheet1!C124&lt;&gt;"",Sheet1!C124,"")</f>
        <v/>
      </c>
      <c r="D117" s="33" t="str">
        <f>IF(Sheet1!D124&lt;&gt;"",Sheet1!D124,"")</f>
        <v/>
      </c>
      <c r="E117" s="31" t="str">
        <f>IF(Sheet1!E119&lt;&gt;0,Sheet1!E119,"")</f>
        <v/>
      </c>
      <c r="F117" s="31" t="str">
        <f>IF(B117&lt;&gt;"",Sheet1!F119,"")</f>
        <v/>
      </c>
      <c r="G117" s="31" t="str">
        <f>IF(B117&lt;&gt;"",Sheet1!G119,"")</f>
        <v/>
      </c>
      <c r="H117" s="31" t="str">
        <f>IF(C117&lt;&gt;"",Sheet1!H119,"")</f>
        <v/>
      </c>
      <c r="I117" s="30" t="str">
        <f>IF(C117&lt;&gt;"",Sheet1!I119,"")</f>
        <v/>
      </c>
    </row>
    <row r="118" spans="1:9">
      <c r="A118" s="30" t="str">
        <f t="shared" si="3"/>
        <v/>
      </c>
      <c r="B118" s="33" t="str">
        <f>IF(Sheet1!B125&lt;&gt;"",Sheet1!B125,"")</f>
        <v/>
      </c>
      <c r="C118" s="33" t="str">
        <f>IF(Sheet1!C125&lt;&gt;"",Sheet1!C125,"")</f>
        <v/>
      </c>
      <c r="D118" s="33" t="str">
        <f>IF(Sheet1!D125&lt;&gt;"",Sheet1!D125,"")</f>
        <v/>
      </c>
      <c r="E118" s="31" t="str">
        <f>IF(Sheet1!E120&lt;&gt;0,Sheet1!E120,"")</f>
        <v/>
      </c>
      <c r="F118" s="31" t="str">
        <f>IF(B118&lt;&gt;"",Sheet1!F120,"")</f>
        <v/>
      </c>
      <c r="G118" s="31" t="str">
        <f>IF(B118&lt;&gt;"",Sheet1!G120,"")</f>
        <v/>
      </c>
      <c r="H118" s="31" t="str">
        <f>IF(C118&lt;&gt;"",Sheet1!H120,"")</f>
        <v/>
      </c>
      <c r="I118" s="30" t="str">
        <f>IF(C118&lt;&gt;"",Sheet1!I120,"")</f>
        <v/>
      </c>
    </row>
    <row r="119" spans="1:9">
      <c r="A119" s="30" t="str">
        <f t="shared" si="3"/>
        <v/>
      </c>
      <c r="B119" s="33" t="str">
        <f>IF(Sheet1!B126&lt;&gt;"",Sheet1!B126,"")</f>
        <v/>
      </c>
      <c r="C119" s="33" t="str">
        <f>IF(Sheet1!C126&lt;&gt;"",Sheet1!C126,"")</f>
        <v/>
      </c>
      <c r="D119" s="33" t="str">
        <f>IF(Sheet1!D126&lt;&gt;"",Sheet1!D126,"")</f>
        <v/>
      </c>
      <c r="E119" s="31" t="str">
        <f>IF(Sheet1!E121&lt;&gt;0,Sheet1!E121,"")</f>
        <v/>
      </c>
      <c r="F119" s="31" t="str">
        <f>IF(B119&lt;&gt;"",Sheet1!F121,"")</f>
        <v/>
      </c>
      <c r="G119" s="31" t="str">
        <f>IF(B119&lt;&gt;"",Sheet1!G121,"")</f>
        <v/>
      </c>
      <c r="H119" s="31" t="str">
        <f>IF(C119&lt;&gt;"",Sheet1!H121,"")</f>
        <v/>
      </c>
      <c r="I119" s="30" t="str">
        <f>IF(C119&lt;&gt;"",Sheet1!I121,"")</f>
        <v/>
      </c>
    </row>
    <row r="120" spans="1:9">
      <c r="A120" s="30" t="str">
        <f t="shared" si="3"/>
        <v/>
      </c>
      <c r="B120" s="33" t="str">
        <f>IF(Sheet1!B127&lt;&gt;"",Sheet1!B127,"")</f>
        <v/>
      </c>
      <c r="C120" s="33" t="str">
        <f>IF(Sheet1!C127&lt;&gt;"",Sheet1!C127,"")</f>
        <v/>
      </c>
      <c r="D120" s="33" t="str">
        <f>IF(Sheet1!D127&lt;&gt;"",Sheet1!D127,"")</f>
        <v/>
      </c>
      <c r="E120" s="31" t="str">
        <f>IF(Sheet1!E122&lt;&gt;0,Sheet1!E122,"")</f>
        <v/>
      </c>
      <c r="F120" s="31" t="str">
        <f>IF(B120&lt;&gt;"",Sheet1!F122,"")</f>
        <v/>
      </c>
      <c r="G120" s="31" t="str">
        <f>IF(B120&lt;&gt;"",Sheet1!G122,"")</f>
        <v/>
      </c>
      <c r="H120" s="31" t="str">
        <f>IF(C120&lt;&gt;"",Sheet1!H122,"")</f>
        <v/>
      </c>
      <c r="I120" s="30" t="str">
        <f>IF(C120&lt;&gt;"",Sheet1!I122,"")</f>
        <v/>
      </c>
    </row>
    <row r="121" spans="1:9">
      <c r="A121" s="30" t="str">
        <f t="shared" si="3"/>
        <v/>
      </c>
      <c r="B121" s="33" t="str">
        <f>IF(Sheet1!B128&lt;&gt;"",Sheet1!B128,"")</f>
        <v/>
      </c>
      <c r="C121" s="33" t="str">
        <f>IF(Sheet1!C128&lt;&gt;"",Sheet1!C128,"")</f>
        <v/>
      </c>
      <c r="D121" s="33" t="str">
        <f>IF(Sheet1!D128&lt;&gt;"",Sheet1!D128,"")</f>
        <v/>
      </c>
      <c r="E121" s="31" t="str">
        <f>IF(Sheet1!E123&lt;&gt;0,Sheet1!E123,"")</f>
        <v/>
      </c>
      <c r="F121" s="31" t="str">
        <f>IF(B121&lt;&gt;"",Sheet1!F123,"")</f>
        <v/>
      </c>
      <c r="G121" s="31" t="str">
        <f>IF(B121&lt;&gt;"",Sheet1!G123,"")</f>
        <v/>
      </c>
      <c r="H121" s="31" t="str">
        <f>IF(C121&lt;&gt;"",Sheet1!H123,"")</f>
        <v/>
      </c>
      <c r="I121" s="30" t="str">
        <f>IF(C121&lt;&gt;"",Sheet1!I123,"")</f>
        <v/>
      </c>
    </row>
    <row r="122" spans="1:9">
      <c r="A122" s="30" t="str">
        <f t="shared" ref="A122:A153" si="4">IF(B122="","",IF(I122=0,"---",RANK(I122,$I$5:$I$164,0)))</f>
        <v/>
      </c>
      <c r="B122" s="33" t="str">
        <f>IF(Sheet1!B129&lt;&gt;"",Sheet1!B129,"")</f>
        <v/>
      </c>
      <c r="C122" s="33" t="str">
        <f>IF(Sheet1!C129&lt;&gt;"",Sheet1!C129,"")</f>
        <v/>
      </c>
      <c r="D122" s="33" t="str">
        <f>IF(Sheet1!D129&lt;&gt;"",Sheet1!D129,"")</f>
        <v/>
      </c>
      <c r="E122" s="31" t="str">
        <f>IF(Sheet1!E124&lt;&gt;0,Sheet1!E124,"")</f>
        <v/>
      </c>
      <c r="F122" s="31" t="str">
        <f>IF(B122&lt;&gt;"",Sheet1!F124,"")</f>
        <v/>
      </c>
      <c r="G122" s="31" t="str">
        <f>IF(B122&lt;&gt;"",Sheet1!G124,"")</f>
        <v/>
      </c>
      <c r="H122" s="31" t="str">
        <f>IF(C122&lt;&gt;"",Sheet1!H124,"")</f>
        <v/>
      </c>
      <c r="I122" s="30" t="str">
        <f>IF(C122&lt;&gt;"",Sheet1!I124,"")</f>
        <v/>
      </c>
    </row>
    <row r="123" spans="1:9">
      <c r="A123" s="30" t="str">
        <f t="shared" si="4"/>
        <v/>
      </c>
      <c r="B123" s="33" t="str">
        <f>IF(Sheet1!B130&lt;&gt;"",Sheet1!B130,"")</f>
        <v/>
      </c>
      <c r="C123" s="33" t="str">
        <f>IF(Sheet1!C130&lt;&gt;"",Sheet1!C130,"")</f>
        <v/>
      </c>
      <c r="D123" s="33" t="str">
        <f>IF(Sheet1!D130&lt;&gt;"",Sheet1!D130,"")</f>
        <v/>
      </c>
      <c r="E123" s="31" t="str">
        <f>IF(Sheet1!E125&lt;&gt;0,Sheet1!E125,"")</f>
        <v/>
      </c>
      <c r="F123" s="31" t="str">
        <f>IF(B123&lt;&gt;"",Sheet1!F125,"")</f>
        <v/>
      </c>
      <c r="G123" s="31" t="str">
        <f>IF(B123&lt;&gt;"",Sheet1!G125,"")</f>
        <v/>
      </c>
      <c r="H123" s="31" t="str">
        <f>IF(C123&lt;&gt;"",Sheet1!H125,"")</f>
        <v/>
      </c>
      <c r="I123" s="30" t="str">
        <f>IF(C123&lt;&gt;"",Sheet1!I125,"")</f>
        <v/>
      </c>
    </row>
    <row r="124" spans="1:9">
      <c r="A124" s="30" t="str">
        <f t="shared" si="4"/>
        <v/>
      </c>
      <c r="B124" s="33" t="str">
        <f>IF(Sheet1!B131&lt;&gt;"",Sheet1!B131,"")</f>
        <v/>
      </c>
      <c r="C124" s="33" t="str">
        <f>IF(Sheet1!C131&lt;&gt;"",Sheet1!C131,"")</f>
        <v/>
      </c>
      <c r="D124" s="33" t="str">
        <f>IF(Sheet1!D131&lt;&gt;"",Sheet1!D131,"")</f>
        <v/>
      </c>
      <c r="E124" s="31" t="str">
        <f>IF(Sheet1!E126&lt;&gt;0,Sheet1!E126,"")</f>
        <v/>
      </c>
      <c r="F124" s="31" t="str">
        <f>IF(B124&lt;&gt;"",Sheet1!F126,"")</f>
        <v/>
      </c>
      <c r="G124" s="31" t="str">
        <f>IF(B124&lt;&gt;"",Sheet1!G126,"")</f>
        <v/>
      </c>
      <c r="H124" s="31" t="str">
        <f>IF(C124&lt;&gt;"",Sheet1!H126,"")</f>
        <v/>
      </c>
      <c r="I124" s="30" t="str">
        <f>IF(C124&lt;&gt;"",Sheet1!I126,"")</f>
        <v/>
      </c>
    </row>
    <row r="125" spans="1:9">
      <c r="A125" s="30" t="str">
        <f t="shared" si="4"/>
        <v/>
      </c>
      <c r="B125" s="33" t="str">
        <f>IF(Sheet1!B132&lt;&gt;"",Sheet1!B132,"")</f>
        <v/>
      </c>
      <c r="C125" s="33" t="str">
        <f>IF(Sheet1!C132&lt;&gt;"",Sheet1!C132,"")</f>
        <v/>
      </c>
      <c r="D125" s="33" t="str">
        <f>IF(Sheet1!D132&lt;&gt;"",Sheet1!D132,"")</f>
        <v/>
      </c>
      <c r="E125" s="31" t="str">
        <f>IF(Sheet1!E127&lt;&gt;0,Sheet1!E127,"")</f>
        <v/>
      </c>
      <c r="F125" s="31" t="str">
        <f>IF(B125&lt;&gt;"",Sheet1!F127,"")</f>
        <v/>
      </c>
      <c r="G125" s="31" t="str">
        <f>IF(B125&lt;&gt;"",Sheet1!G127,"")</f>
        <v/>
      </c>
      <c r="H125" s="31" t="str">
        <f>IF(C125&lt;&gt;"",Sheet1!H127,"")</f>
        <v/>
      </c>
      <c r="I125" s="30" t="str">
        <f>IF(C125&lt;&gt;"",Sheet1!I127,"")</f>
        <v/>
      </c>
    </row>
    <row r="126" spans="1:9">
      <c r="A126" s="30" t="str">
        <f t="shared" si="4"/>
        <v/>
      </c>
      <c r="B126" s="33" t="str">
        <f>IF(Sheet1!B133&lt;&gt;"",Sheet1!B133,"")</f>
        <v/>
      </c>
      <c r="C126" s="33" t="str">
        <f>IF(Sheet1!C133&lt;&gt;"",Sheet1!C133,"")</f>
        <v/>
      </c>
      <c r="D126" s="33" t="str">
        <f>IF(Sheet1!D133&lt;&gt;"",Sheet1!D133,"")</f>
        <v/>
      </c>
      <c r="E126" s="31" t="str">
        <f>IF(Sheet1!E128&lt;&gt;0,Sheet1!E128,"")</f>
        <v/>
      </c>
      <c r="F126" s="31" t="str">
        <f>IF(B126&lt;&gt;"",Sheet1!F128,"")</f>
        <v/>
      </c>
      <c r="G126" s="31" t="str">
        <f>IF(B126&lt;&gt;"",Sheet1!G128,"")</f>
        <v/>
      </c>
      <c r="H126" s="31" t="str">
        <f>IF(C126&lt;&gt;"",Sheet1!H128,"")</f>
        <v/>
      </c>
      <c r="I126" s="30" t="str">
        <f>IF(C126&lt;&gt;"",Sheet1!I128,"")</f>
        <v/>
      </c>
    </row>
    <row r="127" spans="1:9">
      <c r="A127" s="30" t="str">
        <f t="shared" si="4"/>
        <v/>
      </c>
      <c r="B127" s="33" t="str">
        <f>IF(Sheet1!B134&lt;&gt;"",Sheet1!B134,"")</f>
        <v/>
      </c>
      <c r="C127" s="33" t="str">
        <f>IF(Sheet1!C134&lt;&gt;"",Sheet1!C134,"")</f>
        <v/>
      </c>
      <c r="D127" s="33" t="str">
        <f>IF(Sheet1!D134&lt;&gt;"",Sheet1!D134,"")</f>
        <v/>
      </c>
      <c r="E127" s="31" t="str">
        <f>IF(Sheet1!E129&lt;&gt;0,Sheet1!E129,"")</f>
        <v/>
      </c>
      <c r="F127" s="31" t="str">
        <f>IF(B127&lt;&gt;"",Sheet1!F129,"")</f>
        <v/>
      </c>
      <c r="G127" s="31" t="str">
        <f>IF(B127&lt;&gt;"",Sheet1!G129,"")</f>
        <v/>
      </c>
      <c r="H127" s="31" t="str">
        <f>IF(C127&lt;&gt;"",Sheet1!H129,"")</f>
        <v/>
      </c>
      <c r="I127" s="30" t="str">
        <f>IF(C127&lt;&gt;"",Sheet1!I129,"")</f>
        <v/>
      </c>
    </row>
    <row r="128" spans="1:9">
      <c r="A128" s="30" t="str">
        <f t="shared" si="4"/>
        <v/>
      </c>
      <c r="B128" s="33" t="str">
        <f>IF(Sheet1!B135&lt;&gt;"",Sheet1!B135,"")</f>
        <v/>
      </c>
      <c r="C128" s="33" t="str">
        <f>IF(Sheet1!C135&lt;&gt;"",Sheet1!C135,"")</f>
        <v/>
      </c>
      <c r="D128" s="33" t="str">
        <f>IF(Sheet1!D135&lt;&gt;"",Sheet1!D135,"")</f>
        <v/>
      </c>
      <c r="E128" s="31" t="str">
        <f>IF(Sheet1!E130&lt;&gt;0,Sheet1!E130,"")</f>
        <v/>
      </c>
      <c r="F128" s="31" t="str">
        <f>IF(B128&lt;&gt;"",Sheet1!F130,"")</f>
        <v/>
      </c>
      <c r="G128" s="31" t="str">
        <f>IF(B128&lt;&gt;"",Sheet1!G130,"")</f>
        <v/>
      </c>
      <c r="H128" s="31" t="str">
        <f>IF(C128&lt;&gt;"",Sheet1!H130,"")</f>
        <v/>
      </c>
      <c r="I128" s="30" t="str">
        <f>IF(C128&lt;&gt;"",Sheet1!I130,"")</f>
        <v/>
      </c>
    </row>
    <row r="129" spans="1:9">
      <c r="A129" s="30" t="str">
        <f t="shared" si="4"/>
        <v/>
      </c>
      <c r="B129" s="33" t="str">
        <f>IF(Sheet1!B136&lt;&gt;"",Sheet1!B136,"")</f>
        <v/>
      </c>
      <c r="C129" s="33" t="str">
        <f>IF(Sheet1!C136&lt;&gt;"",Sheet1!C136,"")</f>
        <v/>
      </c>
      <c r="D129" s="33" t="str">
        <f>IF(Sheet1!D136&lt;&gt;"",Sheet1!D136,"")</f>
        <v/>
      </c>
      <c r="E129" s="31" t="str">
        <f>IF(Sheet1!E131&lt;&gt;0,Sheet1!E131,"")</f>
        <v/>
      </c>
      <c r="F129" s="31" t="str">
        <f>IF(B129&lt;&gt;"",Sheet1!F131,"")</f>
        <v/>
      </c>
      <c r="G129" s="31" t="str">
        <f>IF(B129&lt;&gt;"",Sheet1!G131,"")</f>
        <v/>
      </c>
      <c r="H129" s="31" t="str">
        <f>IF(C129&lt;&gt;"",Sheet1!H131,"")</f>
        <v/>
      </c>
      <c r="I129" s="30" t="str">
        <f>IF(C129&lt;&gt;"",Sheet1!I131,"")</f>
        <v/>
      </c>
    </row>
    <row r="130" spans="1:9">
      <c r="A130" s="30" t="str">
        <f t="shared" si="4"/>
        <v/>
      </c>
      <c r="B130" s="33" t="str">
        <f>IF(Sheet1!B137&lt;&gt;"",Sheet1!B137,"")</f>
        <v/>
      </c>
      <c r="C130" s="33" t="str">
        <f>IF(Sheet1!C137&lt;&gt;"",Sheet1!C137,"")</f>
        <v/>
      </c>
      <c r="D130" s="33" t="str">
        <f>IF(Sheet1!D137&lt;&gt;"",Sheet1!D137,"")</f>
        <v/>
      </c>
      <c r="E130" s="31" t="str">
        <f>IF(Sheet1!E132&lt;&gt;0,Sheet1!E132,"")</f>
        <v/>
      </c>
      <c r="F130" s="31" t="str">
        <f>IF(B130&lt;&gt;"",Sheet1!F132,"")</f>
        <v/>
      </c>
      <c r="G130" s="31" t="str">
        <f>IF(B130&lt;&gt;"",Sheet1!G132,"")</f>
        <v/>
      </c>
      <c r="H130" s="31" t="str">
        <f>IF(C130&lt;&gt;"",Sheet1!H132,"")</f>
        <v/>
      </c>
      <c r="I130" s="30" t="str">
        <f>IF(C130&lt;&gt;"",Sheet1!I132,"")</f>
        <v/>
      </c>
    </row>
    <row r="131" spans="1:9">
      <c r="A131" s="30" t="str">
        <f t="shared" si="4"/>
        <v/>
      </c>
      <c r="B131" s="33" t="str">
        <f>IF(Sheet1!B138&lt;&gt;"",Sheet1!B138,"")</f>
        <v/>
      </c>
      <c r="C131" s="33" t="str">
        <f>IF(Sheet1!C138&lt;&gt;"",Sheet1!C138,"")</f>
        <v/>
      </c>
      <c r="D131" s="33" t="str">
        <f>IF(Sheet1!D138&lt;&gt;"",Sheet1!D138,"")</f>
        <v/>
      </c>
      <c r="E131" s="31" t="str">
        <f>IF(Sheet1!E133&lt;&gt;0,Sheet1!E133,"")</f>
        <v/>
      </c>
      <c r="F131" s="31" t="str">
        <f>IF(B131&lt;&gt;"",Sheet1!F133,"")</f>
        <v/>
      </c>
      <c r="G131" s="31" t="str">
        <f>IF(B131&lt;&gt;"",Sheet1!G133,"")</f>
        <v/>
      </c>
      <c r="H131" s="31" t="str">
        <f>IF(C131&lt;&gt;"",Sheet1!H133,"")</f>
        <v/>
      </c>
      <c r="I131" s="30" t="str">
        <f>IF(C131&lt;&gt;"",Sheet1!I133,"")</f>
        <v/>
      </c>
    </row>
    <row r="132" spans="1:9">
      <c r="A132" s="30" t="str">
        <f t="shared" si="4"/>
        <v/>
      </c>
      <c r="B132" s="33" t="str">
        <f>IF(Sheet1!B139&lt;&gt;"",Sheet1!B139,"")</f>
        <v/>
      </c>
      <c r="C132" s="33" t="str">
        <f>IF(Sheet1!C139&lt;&gt;"",Sheet1!C139,"")</f>
        <v/>
      </c>
      <c r="D132" s="33" t="str">
        <f>IF(Sheet1!D139&lt;&gt;"",Sheet1!D139,"")</f>
        <v/>
      </c>
      <c r="E132" s="31" t="str">
        <f>IF(Sheet1!E134&lt;&gt;0,Sheet1!E134,"")</f>
        <v/>
      </c>
      <c r="F132" s="31" t="str">
        <f>IF(B132&lt;&gt;"",Sheet1!F134,"")</f>
        <v/>
      </c>
      <c r="G132" s="31" t="str">
        <f>IF(B132&lt;&gt;"",Sheet1!G134,"")</f>
        <v/>
      </c>
      <c r="H132" s="31" t="str">
        <f>IF(C132&lt;&gt;"",Sheet1!H134,"")</f>
        <v/>
      </c>
      <c r="I132" s="30" t="str">
        <f>IF(C132&lt;&gt;"",Sheet1!I134,"")</f>
        <v/>
      </c>
    </row>
    <row r="133" spans="1:9">
      <c r="A133" s="30" t="str">
        <f t="shared" si="4"/>
        <v/>
      </c>
      <c r="B133" s="33" t="str">
        <f>IF(Sheet1!B140&lt;&gt;"",Sheet1!B140,"")</f>
        <v/>
      </c>
      <c r="C133" s="33" t="str">
        <f>IF(Sheet1!C140&lt;&gt;"",Sheet1!C140,"")</f>
        <v/>
      </c>
      <c r="D133" s="33" t="str">
        <f>IF(Sheet1!D140&lt;&gt;"",Sheet1!D140,"")</f>
        <v/>
      </c>
      <c r="E133" s="31" t="str">
        <f>IF(Sheet1!E135&lt;&gt;0,Sheet1!E135,"")</f>
        <v/>
      </c>
      <c r="F133" s="31" t="str">
        <f>IF(B133&lt;&gt;"",Sheet1!F135,"")</f>
        <v/>
      </c>
      <c r="G133" s="31" t="str">
        <f>IF(B133&lt;&gt;"",Sheet1!G135,"")</f>
        <v/>
      </c>
      <c r="H133" s="31" t="str">
        <f>IF(C133&lt;&gt;"",Sheet1!H135,"")</f>
        <v/>
      </c>
      <c r="I133" s="30" t="str">
        <f>IF(C133&lt;&gt;"",Sheet1!I135,"")</f>
        <v/>
      </c>
    </row>
    <row r="134" spans="1:9">
      <c r="A134" s="30" t="str">
        <f t="shared" si="4"/>
        <v/>
      </c>
      <c r="B134" s="33" t="str">
        <f>IF(Sheet1!B141&lt;&gt;"",Sheet1!B141,"")</f>
        <v/>
      </c>
      <c r="C134" s="33" t="str">
        <f>IF(Sheet1!C141&lt;&gt;"",Sheet1!C141,"")</f>
        <v/>
      </c>
      <c r="D134" s="33" t="str">
        <f>IF(Sheet1!D141&lt;&gt;"",Sheet1!D141,"")</f>
        <v/>
      </c>
      <c r="E134" s="31" t="str">
        <f>IF(Sheet1!E136&lt;&gt;0,Sheet1!E136,"")</f>
        <v/>
      </c>
      <c r="F134" s="31" t="str">
        <f>IF(B134&lt;&gt;"",Sheet1!F136,"")</f>
        <v/>
      </c>
      <c r="G134" s="31" t="str">
        <f>IF(B134&lt;&gt;"",Sheet1!G136,"")</f>
        <v/>
      </c>
      <c r="H134" s="31" t="str">
        <f>IF(C134&lt;&gt;"",Sheet1!H136,"")</f>
        <v/>
      </c>
      <c r="I134" s="30" t="str">
        <f>IF(C134&lt;&gt;"",Sheet1!I136,"")</f>
        <v/>
      </c>
    </row>
    <row r="135" spans="1:9">
      <c r="A135" s="30" t="str">
        <f t="shared" si="4"/>
        <v/>
      </c>
      <c r="B135" s="33" t="str">
        <f>IF(Sheet1!B142&lt;&gt;"",Sheet1!B142,"")</f>
        <v/>
      </c>
      <c r="C135" s="33" t="str">
        <f>IF(Sheet1!C142&lt;&gt;"",Sheet1!C142,"")</f>
        <v/>
      </c>
      <c r="D135" s="33" t="str">
        <f>IF(Sheet1!D142&lt;&gt;"",Sheet1!D142,"")</f>
        <v/>
      </c>
      <c r="E135" s="31" t="str">
        <f>IF(Sheet1!E137&lt;&gt;0,Sheet1!E137,"")</f>
        <v/>
      </c>
      <c r="F135" s="31" t="str">
        <f>IF(B135&lt;&gt;"",Sheet1!F137,"")</f>
        <v/>
      </c>
      <c r="G135" s="31" t="str">
        <f>IF(B135&lt;&gt;"",Sheet1!G137,"")</f>
        <v/>
      </c>
      <c r="H135" s="31" t="str">
        <f>IF(C135&lt;&gt;"",Sheet1!H137,"")</f>
        <v/>
      </c>
      <c r="I135" s="30" t="str">
        <f>IF(C135&lt;&gt;"",Sheet1!I137,"")</f>
        <v/>
      </c>
    </row>
    <row r="136" spans="1:9">
      <c r="A136" s="30" t="str">
        <f t="shared" si="4"/>
        <v/>
      </c>
      <c r="B136" s="33" t="str">
        <f>IF(Sheet1!B143&lt;&gt;"",Sheet1!B143,"")</f>
        <v/>
      </c>
      <c r="C136" s="33" t="str">
        <f>IF(Sheet1!C143&lt;&gt;"",Sheet1!C143,"")</f>
        <v/>
      </c>
      <c r="D136" s="33" t="str">
        <f>IF(Sheet1!D143&lt;&gt;"",Sheet1!D143,"")</f>
        <v/>
      </c>
      <c r="E136" s="31" t="str">
        <f>IF(Sheet1!E138&lt;&gt;0,Sheet1!E138,"")</f>
        <v/>
      </c>
      <c r="F136" s="31" t="str">
        <f>IF(B136&lt;&gt;"",Sheet1!F138,"")</f>
        <v/>
      </c>
      <c r="G136" s="31" t="str">
        <f>IF(B136&lt;&gt;"",Sheet1!G138,"")</f>
        <v/>
      </c>
      <c r="H136" s="31" t="str">
        <f>IF(C136&lt;&gt;"",Sheet1!H138,"")</f>
        <v/>
      </c>
      <c r="I136" s="30" t="str">
        <f>IF(C136&lt;&gt;"",Sheet1!I138,"")</f>
        <v/>
      </c>
    </row>
    <row r="137" spans="1:9">
      <c r="A137" s="30" t="str">
        <f t="shared" si="4"/>
        <v/>
      </c>
      <c r="B137" s="33" t="str">
        <f>IF(Sheet1!B144&lt;&gt;"",Sheet1!B144,"")</f>
        <v/>
      </c>
      <c r="C137" s="33" t="str">
        <f>IF(Sheet1!C144&lt;&gt;"",Sheet1!C144,"")</f>
        <v/>
      </c>
      <c r="D137" s="33" t="str">
        <f>IF(Sheet1!D144&lt;&gt;"",Sheet1!D144,"")</f>
        <v/>
      </c>
      <c r="E137" s="31" t="str">
        <f>IF(Sheet1!E139&lt;&gt;0,Sheet1!E139,"")</f>
        <v/>
      </c>
      <c r="F137" s="31" t="str">
        <f>IF(B137&lt;&gt;"",Sheet1!F139,"")</f>
        <v/>
      </c>
      <c r="G137" s="31" t="str">
        <f>IF(B137&lt;&gt;"",Sheet1!G139,"")</f>
        <v/>
      </c>
      <c r="H137" s="31" t="str">
        <f>IF(C137&lt;&gt;"",Sheet1!H139,"")</f>
        <v/>
      </c>
      <c r="I137" s="30" t="str">
        <f>IF(C137&lt;&gt;"",Sheet1!I139,"")</f>
        <v/>
      </c>
    </row>
    <row r="138" spans="1:9">
      <c r="A138" s="30" t="str">
        <f t="shared" si="4"/>
        <v/>
      </c>
      <c r="B138" s="33" t="str">
        <f>IF(Sheet1!B145&lt;&gt;"",Sheet1!B145,"")</f>
        <v/>
      </c>
      <c r="C138" s="33" t="str">
        <f>IF(Sheet1!C145&lt;&gt;"",Sheet1!C145,"")</f>
        <v/>
      </c>
      <c r="D138" s="33" t="str">
        <f>IF(Sheet1!D145&lt;&gt;"",Sheet1!D145,"")</f>
        <v/>
      </c>
      <c r="E138" s="31" t="str">
        <f>IF(Sheet1!E140&lt;&gt;0,Sheet1!E140,"")</f>
        <v/>
      </c>
      <c r="F138" s="31" t="str">
        <f>IF(B138&lt;&gt;"",Sheet1!F140,"")</f>
        <v/>
      </c>
      <c r="G138" s="31" t="str">
        <f>IF(B138&lt;&gt;"",Sheet1!G140,"")</f>
        <v/>
      </c>
      <c r="H138" s="31" t="str">
        <f>IF(C138&lt;&gt;"",Sheet1!H140,"")</f>
        <v/>
      </c>
      <c r="I138" s="30" t="str">
        <f>IF(C138&lt;&gt;"",Sheet1!I140,"")</f>
        <v/>
      </c>
    </row>
    <row r="139" spans="1:9">
      <c r="A139" s="30" t="str">
        <f t="shared" si="4"/>
        <v/>
      </c>
      <c r="B139" s="33" t="str">
        <f>IF(Sheet1!B146&lt;&gt;"",Sheet1!B146,"")</f>
        <v/>
      </c>
      <c r="C139" s="33" t="str">
        <f>IF(Sheet1!C146&lt;&gt;"",Sheet1!C146,"")</f>
        <v/>
      </c>
      <c r="D139" s="33" t="str">
        <f>IF(Sheet1!D146&lt;&gt;"",Sheet1!D146,"")</f>
        <v/>
      </c>
      <c r="E139" s="31" t="str">
        <f>IF(Sheet1!E141&lt;&gt;0,Sheet1!E141,"")</f>
        <v/>
      </c>
      <c r="F139" s="31" t="str">
        <f>IF(B139&lt;&gt;"",Sheet1!F141,"")</f>
        <v/>
      </c>
      <c r="G139" s="31" t="str">
        <f>IF(B139&lt;&gt;"",Sheet1!G141,"")</f>
        <v/>
      </c>
      <c r="H139" s="31" t="str">
        <f>IF(C139&lt;&gt;"",Sheet1!H141,"")</f>
        <v/>
      </c>
      <c r="I139" s="30" t="str">
        <f>IF(C139&lt;&gt;"",Sheet1!I141,"")</f>
        <v/>
      </c>
    </row>
    <row r="140" spans="1:9">
      <c r="A140" s="30" t="str">
        <f t="shared" si="4"/>
        <v/>
      </c>
      <c r="B140" s="33" t="str">
        <f>IF(Sheet1!B147&lt;&gt;"",Sheet1!B147,"")</f>
        <v/>
      </c>
      <c r="C140" s="33" t="str">
        <f>IF(Sheet1!C147&lt;&gt;"",Sheet1!C147,"")</f>
        <v/>
      </c>
      <c r="D140" s="33" t="str">
        <f>IF(Sheet1!D147&lt;&gt;"",Sheet1!D147,"")</f>
        <v/>
      </c>
      <c r="E140" s="31" t="str">
        <f>IF(Sheet1!E142&lt;&gt;0,Sheet1!E142,"")</f>
        <v/>
      </c>
      <c r="F140" s="31" t="str">
        <f>IF(B140&lt;&gt;"",Sheet1!F142,"")</f>
        <v/>
      </c>
      <c r="G140" s="31" t="str">
        <f>IF(B140&lt;&gt;"",Sheet1!G142,"")</f>
        <v/>
      </c>
      <c r="H140" s="31" t="str">
        <f>IF(C140&lt;&gt;"",Sheet1!H142,"")</f>
        <v/>
      </c>
      <c r="I140" s="30" t="str">
        <f>IF(C140&lt;&gt;"",Sheet1!I142,"")</f>
        <v/>
      </c>
    </row>
    <row r="141" spans="1:9">
      <c r="A141" s="30" t="str">
        <f t="shared" si="4"/>
        <v/>
      </c>
      <c r="B141" s="33" t="str">
        <f>IF(Sheet1!B148&lt;&gt;"",Sheet1!B148,"")</f>
        <v/>
      </c>
      <c r="C141" s="33" t="str">
        <f>IF(Sheet1!C148&lt;&gt;"",Sheet1!C148,"")</f>
        <v/>
      </c>
      <c r="D141" s="33" t="str">
        <f>IF(Sheet1!D148&lt;&gt;"",Sheet1!D148,"")</f>
        <v/>
      </c>
      <c r="E141" s="31" t="str">
        <f>IF(Sheet1!E143&lt;&gt;0,Sheet1!E143,"")</f>
        <v/>
      </c>
      <c r="F141" s="31" t="str">
        <f>IF(B141&lt;&gt;"",Sheet1!F143,"")</f>
        <v/>
      </c>
      <c r="G141" s="31" t="str">
        <f>IF(B141&lt;&gt;"",Sheet1!G143,"")</f>
        <v/>
      </c>
      <c r="H141" s="31" t="str">
        <f>IF(C141&lt;&gt;"",Sheet1!H143,"")</f>
        <v/>
      </c>
      <c r="I141" s="30" t="str">
        <f>IF(C141&lt;&gt;"",Sheet1!I143,"")</f>
        <v/>
      </c>
    </row>
    <row r="142" spans="1:9">
      <c r="A142" s="30" t="str">
        <f t="shared" si="4"/>
        <v/>
      </c>
      <c r="B142" s="33" t="str">
        <f>IF(Sheet1!B149&lt;&gt;"",Sheet1!B149,"")</f>
        <v/>
      </c>
      <c r="C142" s="33" t="str">
        <f>IF(Sheet1!C149&lt;&gt;"",Sheet1!C149,"")</f>
        <v/>
      </c>
      <c r="D142" s="33" t="str">
        <f>IF(Sheet1!D149&lt;&gt;"",Sheet1!D149,"")</f>
        <v/>
      </c>
      <c r="E142" s="31" t="str">
        <f>IF(Sheet1!E144&lt;&gt;0,Sheet1!E144,"")</f>
        <v/>
      </c>
      <c r="F142" s="31" t="str">
        <f>IF(B142&lt;&gt;"",Sheet1!F144,"")</f>
        <v/>
      </c>
      <c r="G142" s="31" t="str">
        <f>IF(B142&lt;&gt;"",Sheet1!G144,"")</f>
        <v/>
      </c>
      <c r="H142" s="31" t="str">
        <f>IF(C142&lt;&gt;"",Sheet1!H144,"")</f>
        <v/>
      </c>
      <c r="I142" s="30" t="str">
        <f>IF(C142&lt;&gt;"",Sheet1!I144,"")</f>
        <v/>
      </c>
    </row>
    <row r="143" spans="1:9">
      <c r="A143" s="30" t="str">
        <f t="shared" si="4"/>
        <v/>
      </c>
      <c r="B143" s="33" t="str">
        <f>IF(Sheet1!B150&lt;&gt;"",Sheet1!B150,"")</f>
        <v/>
      </c>
      <c r="C143" s="33" t="str">
        <f>IF(Sheet1!C150&lt;&gt;"",Sheet1!C150,"")</f>
        <v/>
      </c>
      <c r="D143" s="33" t="str">
        <f>IF(Sheet1!D150&lt;&gt;"",Sheet1!D150,"")</f>
        <v/>
      </c>
      <c r="E143" s="31" t="str">
        <f>IF(Sheet1!E145&lt;&gt;0,Sheet1!E145,"")</f>
        <v/>
      </c>
      <c r="F143" s="31" t="str">
        <f>IF(B143&lt;&gt;"",Sheet1!F145,"")</f>
        <v/>
      </c>
      <c r="G143" s="31" t="str">
        <f>IF(B143&lt;&gt;"",Sheet1!G145,"")</f>
        <v/>
      </c>
      <c r="H143" s="31" t="str">
        <f>IF(C143&lt;&gt;"",Sheet1!H145,"")</f>
        <v/>
      </c>
      <c r="I143" s="30" t="str">
        <f>IF(C143&lt;&gt;"",Sheet1!I145,"")</f>
        <v/>
      </c>
    </row>
    <row r="144" spans="1:9">
      <c r="A144" s="30" t="str">
        <f t="shared" si="4"/>
        <v/>
      </c>
      <c r="B144" s="33" t="str">
        <f>IF(Sheet1!B151&lt;&gt;"",Sheet1!B151,"")</f>
        <v/>
      </c>
      <c r="C144" s="33" t="str">
        <f>IF(Sheet1!C151&lt;&gt;"",Sheet1!C151,"")</f>
        <v/>
      </c>
      <c r="D144" s="33" t="str">
        <f>IF(Sheet1!D151&lt;&gt;"",Sheet1!D151,"")</f>
        <v/>
      </c>
      <c r="E144" s="31" t="str">
        <f>IF(Sheet1!E146&lt;&gt;0,Sheet1!E146,"")</f>
        <v/>
      </c>
      <c r="F144" s="31" t="str">
        <f>IF(B144&lt;&gt;"",Sheet1!F146,"")</f>
        <v/>
      </c>
      <c r="G144" s="31" t="str">
        <f>IF(B144&lt;&gt;"",Sheet1!G146,"")</f>
        <v/>
      </c>
      <c r="H144" s="31" t="str">
        <f>IF(C144&lt;&gt;"",Sheet1!H146,"")</f>
        <v/>
      </c>
      <c r="I144" s="30" t="str">
        <f>IF(C144&lt;&gt;"",Sheet1!I146,"")</f>
        <v/>
      </c>
    </row>
    <row r="145" spans="1:9">
      <c r="A145" s="30" t="str">
        <f t="shared" si="4"/>
        <v/>
      </c>
      <c r="B145" s="33" t="str">
        <f>IF(Sheet1!B152&lt;&gt;"",Sheet1!B152,"")</f>
        <v/>
      </c>
      <c r="C145" s="33" t="str">
        <f>IF(Sheet1!C152&lt;&gt;"",Sheet1!C152,"")</f>
        <v/>
      </c>
      <c r="D145" s="33" t="str">
        <f>IF(Sheet1!D152&lt;&gt;"",Sheet1!D152,"")</f>
        <v/>
      </c>
      <c r="E145" s="31" t="str">
        <f>IF(Sheet1!E147&lt;&gt;0,Sheet1!E147,"")</f>
        <v/>
      </c>
      <c r="F145" s="31" t="str">
        <f>IF(B145&lt;&gt;"",Sheet1!F147,"")</f>
        <v/>
      </c>
      <c r="G145" s="31" t="str">
        <f>IF(B145&lt;&gt;"",Sheet1!G147,"")</f>
        <v/>
      </c>
      <c r="H145" s="31" t="str">
        <f>IF(C145&lt;&gt;"",Sheet1!H147,"")</f>
        <v/>
      </c>
      <c r="I145" s="30" t="str">
        <f>IF(C145&lt;&gt;"",Sheet1!I147,"")</f>
        <v/>
      </c>
    </row>
    <row r="146" spans="1:9">
      <c r="A146" s="30" t="str">
        <f t="shared" si="4"/>
        <v/>
      </c>
      <c r="B146" s="33" t="str">
        <f>IF(Sheet1!B153&lt;&gt;"",Sheet1!B153,"")</f>
        <v/>
      </c>
      <c r="C146" s="33" t="str">
        <f>IF(Sheet1!C153&lt;&gt;"",Sheet1!C153,"")</f>
        <v/>
      </c>
      <c r="D146" s="33" t="str">
        <f>IF(Sheet1!D153&lt;&gt;"",Sheet1!D153,"")</f>
        <v/>
      </c>
      <c r="E146" s="31" t="str">
        <f>IF(Sheet1!E148&lt;&gt;0,Sheet1!E148,"")</f>
        <v/>
      </c>
      <c r="F146" s="31" t="str">
        <f>IF(B146&lt;&gt;"",Sheet1!F148,"")</f>
        <v/>
      </c>
      <c r="G146" s="31" t="str">
        <f>IF(B146&lt;&gt;"",Sheet1!G148,"")</f>
        <v/>
      </c>
      <c r="H146" s="31" t="str">
        <f>IF(C146&lt;&gt;"",Sheet1!H148,"")</f>
        <v/>
      </c>
      <c r="I146" s="30" t="str">
        <f>IF(C146&lt;&gt;"",Sheet1!I148,"")</f>
        <v/>
      </c>
    </row>
    <row r="147" spans="1:9">
      <c r="A147" s="30" t="str">
        <f t="shared" si="4"/>
        <v/>
      </c>
      <c r="B147" s="33" t="str">
        <f>IF(Sheet1!B154&lt;&gt;"",Sheet1!B154,"")</f>
        <v/>
      </c>
      <c r="C147" s="33" t="str">
        <f>IF(Sheet1!C154&lt;&gt;"",Sheet1!C154,"")</f>
        <v/>
      </c>
      <c r="D147" s="33" t="str">
        <f>IF(Sheet1!D154&lt;&gt;"",Sheet1!D154,"")</f>
        <v/>
      </c>
      <c r="E147" s="31" t="str">
        <f>IF(Sheet1!E149&lt;&gt;0,Sheet1!E149,"")</f>
        <v/>
      </c>
      <c r="F147" s="31" t="str">
        <f>IF(B147&lt;&gt;"",Sheet1!F149,"")</f>
        <v/>
      </c>
      <c r="G147" s="31" t="str">
        <f>IF(B147&lt;&gt;"",Sheet1!G149,"")</f>
        <v/>
      </c>
      <c r="H147" s="31" t="str">
        <f>IF(C147&lt;&gt;"",Sheet1!H149,"")</f>
        <v/>
      </c>
      <c r="I147" s="30" t="str">
        <f>IF(C147&lt;&gt;"",Sheet1!I149,"")</f>
        <v/>
      </c>
    </row>
    <row r="148" spans="1:9">
      <c r="A148" s="30" t="str">
        <f t="shared" si="4"/>
        <v/>
      </c>
      <c r="B148" s="33" t="str">
        <f>IF(Sheet1!B155&lt;&gt;"",Sheet1!B155,"")</f>
        <v/>
      </c>
      <c r="C148" s="33" t="str">
        <f>IF(Sheet1!C155&lt;&gt;"",Sheet1!C155,"")</f>
        <v/>
      </c>
      <c r="D148" s="33" t="str">
        <f>IF(Sheet1!D155&lt;&gt;"",Sheet1!D155,"")</f>
        <v/>
      </c>
      <c r="E148" s="31" t="str">
        <f>IF(Sheet1!E150&lt;&gt;0,Sheet1!E150,"")</f>
        <v/>
      </c>
      <c r="F148" s="31" t="str">
        <f>IF(B148&lt;&gt;"",Sheet1!F150,"")</f>
        <v/>
      </c>
      <c r="G148" s="31" t="str">
        <f>IF(B148&lt;&gt;"",Sheet1!G150,"")</f>
        <v/>
      </c>
      <c r="H148" s="31" t="str">
        <f>IF(C148&lt;&gt;"",Sheet1!H150,"")</f>
        <v/>
      </c>
      <c r="I148" s="30" t="str">
        <f>IF(C148&lt;&gt;"",Sheet1!I150,"")</f>
        <v/>
      </c>
    </row>
    <row r="149" spans="1:9">
      <c r="A149" s="30" t="str">
        <f t="shared" si="4"/>
        <v/>
      </c>
      <c r="B149" s="33" t="str">
        <f>IF(Sheet1!B156&lt;&gt;"",Sheet1!B156,"")</f>
        <v/>
      </c>
      <c r="C149" s="33" t="str">
        <f>IF(Sheet1!C156&lt;&gt;"",Sheet1!C156,"")</f>
        <v/>
      </c>
      <c r="D149" s="33" t="str">
        <f>IF(Sheet1!D156&lt;&gt;"",Sheet1!D156,"")</f>
        <v/>
      </c>
      <c r="E149" s="31" t="str">
        <f>IF(Sheet1!E151&lt;&gt;0,Sheet1!E151,"")</f>
        <v/>
      </c>
      <c r="F149" s="31" t="str">
        <f>IF(B149&lt;&gt;"",Sheet1!F151,"")</f>
        <v/>
      </c>
      <c r="G149" s="31" t="str">
        <f>IF(B149&lt;&gt;"",Sheet1!G151,"")</f>
        <v/>
      </c>
      <c r="H149" s="31" t="str">
        <f>IF(C149&lt;&gt;"",Sheet1!H151,"")</f>
        <v/>
      </c>
      <c r="I149" s="30" t="str">
        <f>IF(C149&lt;&gt;"",Sheet1!I151,"")</f>
        <v/>
      </c>
    </row>
    <row r="150" spans="1:9">
      <c r="A150" s="30" t="str">
        <f t="shared" si="4"/>
        <v/>
      </c>
      <c r="B150" s="33" t="str">
        <f>IF(Sheet1!B157&lt;&gt;"",Sheet1!B157,"")</f>
        <v/>
      </c>
      <c r="C150" s="33" t="str">
        <f>IF(Sheet1!C157&lt;&gt;"",Sheet1!C157,"")</f>
        <v/>
      </c>
      <c r="D150" s="33" t="str">
        <f>IF(Sheet1!D157&lt;&gt;"",Sheet1!D157,"")</f>
        <v/>
      </c>
      <c r="E150" s="31" t="str">
        <f>IF(Sheet1!E152&lt;&gt;0,Sheet1!E152,"")</f>
        <v/>
      </c>
      <c r="F150" s="31" t="str">
        <f>IF(B150&lt;&gt;"",Sheet1!F152,"")</f>
        <v/>
      </c>
      <c r="G150" s="31" t="str">
        <f>IF(B150&lt;&gt;"",Sheet1!G152,"")</f>
        <v/>
      </c>
      <c r="H150" s="31" t="str">
        <f>IF(C150&lt;&gt;"",Sheet1!H152,"")</f>
        <v/>
      </c>
      <c r="I150" s="30" t="str">
        <f>IF(C150&lt;&gt;"",Sheet1!I152,"")</f>
        <v/>
      </c>
    </row>
    <row r="151" spans="1:9">
      <c r="A151" s="30" t="str">
        <f t="shared" si="4"/>
        <v/>
      </c>
      <c r="B151" s="33" t="str">
        <f>IF(Sheet1!B158&lt;&gt;"",Sheet1!B158,"")</f>
        <v/>
      </c>
      <c r="C151" s="33" t="str">
        <f>IF(Sheet1!C158&lt;&gt;"",Sheet1!C158,"")</f>
        <v/>
      </c>
      <c r="D151" s="33" t="str">
        <f>IF(Sheet1!D158&lt;&gt;"",Sheet1!D158,"")</f>
        <v/>
      </c>
      <c r="E151" s="31" t="str">
        <f>IF(Sheet1!E153&lt;&gt;0,Sheet1!E153,"")</f>
        <v/>
      </c>
      <c r="F151" s="31" t="str">
        <f>IF(B151&lt;&gt;"",Sheet1!F153,"")</f>
        <v/>
      </c>
      <c r="G151" s="31" t="str">
        <f>IF(B151&lt;&gt;"",Sheet1!G153,"")</f>
        <v/>
      </c>
      <c r="H151" s="31" t="str">
        <f>IF(C151&lt;&gt;"",Sheet1!H153,"")</f>
        <v/>
      </c>
      <c r="I151" s="30" t="str">
        <f>IF(C151&lt;&gt;"",Sheet1!I153,"")</f>
        <v/>
      </c>
    </row>
    <row r="152" spans="1:9">
      <c r="A152" s="30" t="str">
        <f t="shared" si="4"/>
        <v/>
      </c>
      <c r="B152" s="33" t="str">
        <f>IF(Sheet1!B159&lt;&gt;"",Sheet1!B159,"")</f>
        <v/>
      </c>
      <c r="C152" s="33" t="str">
        <f>IF(Sheet1!C159&lt;&gt;"",Sheet1!C159,"")</f>
        <v/>
      </c>
      <c r="D152" s="33" t="str">
        <f>IF(Sheet1!D159&lt;&gt;"",Sheet1!D159,"")</f>
        <v/>
      </c>
      <c r="E152" s="31" t="str">
        <f>IF(Sheet1!E154&lt;&gt;0,Sheet1!E154,"")</f>
        <v/>
      </c>
      <c r="F152" s="31" t="str">
        <f>IF(B152&lt;&gt;"",Sheet1!F154,"")</f>
        <v/>
      </c>
      <c r="G152" s="31" t="str">
        <f>IF(B152&lt;&gt;"",Sheet1!G154,"")</f>
        <v/>
      </c>
      <c r="H152" s="31" t="str">
        <f>IF(C152&lt;&gt;"",Sheet1!H154,"")</f>
        <v/>
      </c>
      <c r="I152" s="30" t="str">
        <f>IF(C152&lt;&gt;"",Sheet1!I154,"")</f>
        <v/>
      </c>
    </row>
    <row r="153" spans="1:9">
      <c r="A153" s="30" t="str">
        <f t="shared" si="4"/>
        <v/>
      </c>
      <c r="B153" s="33" t="str">
        <f>IF(Sheet1!B160&lt;&gt;"",Sheet1!B160,"")</f>
        <v/>
      </c>
      <c r="C153" s="33" t="str">
        <f>IF(Sheet1!C160&lt;&gt;"",Sheet1!C160,"")</f>
        <v/>
      </c>
      <c r="D153" s="33" t="str">
        <f>IF(Sheet1!D160&lt;&gt;"",Sheet1!D160,"")</f>
        <v/>
      </c>
      <c r="E153" s="31" t="str">
        <f>IF(Sheet1!E155&lt;&gt;0,Sheet1!E155,"")</f>
        <v/>
      </c>
      <c r="F153" s="31" t="str">
        <f>IF(B153&lt;&gt;"",Sheet1!F155,"")</f>
        <v/>
      </c>
      <c r="G153" s="31" t="str">
        <f>IF(B153&lt;&gt;"",Sheet1!G155,"")</f>
        <v/>
      </c>
      <c r="H153" s="31" t="str">
        <f>IF(C153&lt;&gt;"",Sheet1!H155,"")</f>
        <v/>
      </c>
      <c r="I153" s="30" t="str">
        <f>IF(C153&lt;&gt;"",Sheet1!I155,"")</f>
        <v/>
      </c>
    </row>
    <row r="154" spans="1:9">
      <c r="A154" s="30" t="str">
        <f t="shared" ref="A154:A185" si="5">IF(B154="","",IF(I154=0,"---",RANK(I154,$I$5:$I$164,0)))</f>
        <v/>
      </c>
      <c r="B154" s="33" t="str">
        <f>IF(Sheet1!B161&lt;&gt;"",Sheet1!B161,"")</f>
        <v/>
      </c>
      <c r="C154" s="33" t="str">
        <f>IF(Sheet1!C161&lt;&gt;"",Sheet1!C161,"")</f>
        <v/>
      </c>
      <c r="D154" s="33" t="str">
        <f>IF(Sheet1!D161&lt;&gt;"",Sheet1!D161,"")</f>
        <v/>
      </c>
      <c r="E154" s="31" t="str">
        <f>IF(Sheet1!E156&lt;&gt;0,Sheet1!E156,"")</f>
        <v/>
      </c>
      <c r="F154" s="31" t="str">
        <f>IF(B154&lt;&gt;"",Sheet1!F156,"")</f>
        <v/>
      </c>
      <c r="G154" s="31" t="str">
        <f>IF(B154&lt;&gt;"",Sheet1!G156,"")</f>
        <v/>
      </c>
      <c r="H154" s="31" t="str">
        <f>IF(C154&lt;&gt;"",Sheet1!H156,"")</f>
        <v/>
      </c>
      <c r="I154" s="30" t="str">
        <f>IF(C154&lt;&gt;"",Sheet1!I156,"")</f>
        <v/>
      </c>
    </row>
    <row r="155" spans="1:9">
      <c r="A155" s="30" t="str">
        <f t="shared" si="5"/>
        <v/>
      </c>
      <c r="B155" s="33" t="str">
        <f>IF(Sheet1!B162&lt;&gt;"",Sheet1!B162,"")</f>
        <v/>
      </c>
      <c r="C155" s="33" t="str">
        <f>IF(Sheet1!C162&lt;&gt;"",Sheet1!C162,"")</f>
        <v/>
      </c>
      <c r="D155" s="33" t="str">
        <f>IF(Sheet1!D162&lt;&gt;"",Sheet1!D162,"")</f>
        <v/>
      </c>
      <c r="E155" s="31" t="str">
        <f>IF(Sheet1!E157&lt;&gt;0,Sheet1!E157,"")</f>
        <v/>
      </c>
      <c r="F155" s="31" t="str">
        <f>IF(B155&lt;&gt;"",Sheet1!F157,"")</f>
        <v/>
      </c>
      <c r="G155" s="31" t="str">
        <f>IF(B155&lt;&gt;"",Sheet1!G157,"")</f>
        <v/>
      </c>
      <c r="H155" s="31" t="str">
        <f>IF(C155&lt;&gt;"",Sheet1!H157,"")</f>
        <v/>
      </c>
      <c r="I155" s="30" t="str">
        <f>IF(C155&lt;&gt;"",Sheet1!I157,"")</f>
        <v/>
      </c>
    </row>
    <row r="156" spans="1:9">
      <c r="A156" s="30" t="str">
        <f t="shared" si="5"/>
        <v/>
      </c>
      <c r="B156" s="33" t="str">
        <f>IF(Sheet1!B163&lt;&gt;"",Sheet1!B163,"")</f>
        <v/>
      </c>
      <c r="C156" s="33" t="str">
        <f>IF(Sheet1!C163&lt;&gt;"",Sheet1!C163,"")</f>
        <v/>
      </c>
      <c r="D156" s="33" t="str">
        <f>IF(Sheet1!D163&lt;&gt;"",Sheet1!D163,"")</f>
        <v/>
      </c>
      <c r="E156" s="31" t="str">
        <f>IF(Sheet1!E158&lt;&gt;0,Sheet1!E158,"")</f>
        <v/>
      </c>
      <c r="F156" s="31" t="str">
        <f>IF(B156&lt;&gt;"",Sheet1!F158,"")</f>
        <v/>
      </c>
      <c r="G156" s="31" t="str">
        <f>IF(B156&lt;&gt;"",Sheet1!G158,"")</f>
        <v/>
      </c>
      <c r="H156" s="31" t="str">
        <f>IF(C156&lt;&gt;"",Sheet1!H158,"")</f>
        <v/>
      </c>
      <c r="I156" s="30" t="str">
        <f>IF(C156&lt;&gt;"",Sheet1!I158,"")</f>
        <v/>
      </c>
    </row>
    <row r="157" spans="1:9">
      <c r="A157" s="30" t="str">
        <f t="shared" si="5"/>
        <v/>
      </c>
      <c r="B157" s="33" t="str">
        <f>IF(Sheet1!B164&lt;&gt;"",Sheet1!B164,"")</f>
        <v/>
      </c>
      <c r="C157" s="33" t="str">
        <f>IF(Sheet1!C164&lt;&gt;"",Sheet1!C164,"")</f>
        <v/>
      </c>
      <c r="D157" s="33" t="str">
        <f>IF(Sheet1!D164&lt;&gt;"",Sheet1!D164,"")</f>
        <v/>
      </c>
      <c r="E157" s="31" t="str">
        <f>IF(Sheet1!E159&lt;&gt;0,Sheet1!E159,"")</f>
        <v/>
      </c>
      <c r="F157" s="31" t="str">
        <f>IF(B157&lt;&gt;"",Sheet1!F159,"")</f>
        <v/>
      </c>
      <c r="G157" s="31" t="str">
        <f>IF(B157&lt;&gt;"",Sheet1!G159,"")</f>
        <v/>
      </c>
      <c r="H157" s="31" t="str">
        <f>IF(C157&lt;&gt;"",Sheet1!H159,"")</f>
        <v/>
      </c>
      <c r="I157" s="30" t="str">
        <f>IF(C157&lt;&gt;"",Sheet1!I159,"")</f>
        <v/>
      </c>
    </row>
    <row r="158" spans="1:9">
      <c r="A158" s="30" t="str">
        <f t="shared" si="5"/>
        <v/>
      </c>
      <c r="B158" s="33" t="str">
        <f>IF(Sheet1!B165&lt;&gt;"",Sheet1!B165,"")</f>
        <v/>
      </c>
      <c r="C158" s="33" t="str">
        <f>IF(Sheet1!C165&lt;&gt;"",Sheet1!C165,"")</f>
        <v/>
      </c>
      <c r="D158" s="33" t="str">
        <f>IF(Sheet1!D165&lt;&gt;"",Sheet1!D165,"")</f>
        <v/>
      </c>
      <c r="E158" s="31" t="str">
        <f>IF(Sheet1!E160&lt;&gt;0,Sheet1!E160,"")</f>
        <v/>
      </c>
      <c r="F158" s="31" t="str">
        <f>IF(B158&lt;&gt;"",Sheet1!F160,"")</f>
        <v/>
      </c>
      <c r="G158" s="31" t="str">
        <f>IF(B158&lt;&gt;"",Sheet1!G160,"")</f>
        <v/>
      </c>
      <c r="H158" s="31" t="str">
        <f>IF(C158&lt;&gt;"",Sheet1!H160,"")</f>
        <v/>
      </c>
      <c r="I158" s="30" t="str">
        <f>IF(C158&lt;&gt;"",Sheet1!I160,"")</f>
        <v/>
      </c>
    </row>
    <row r="159" spans="1:9">
      <c r="A159" s="30" t="str">
        <f t="shared" si="5"/>
        <v/>
      </c>
      <c r="B159" s="33" t="str">
        <f>IF(Sheet1!B166&lt;&gt;"",Sheet1!B166,"")</f>
        <v/>
      </c>
      <c r="C159" s="33" t="str">
        <f>IF(Sheet1!C166&lt;&gt;"",Sheet1!C166,"")</f>
        <v/>
      </c>
      <c r="D159" s="33" t="str">
        <f>IF(Sheet1!D166&lt;&gt;"",Sheet1!D166,"")</f>
        <v/>
      </c>
      <c r="E159" s="31" t="str">
        <f>IF(Sheet1!E161&lt;&gt;0,Sheet1!E161,"")</f>
        <v/>
      </c>
      <c r="F159" s="31" t="str">
        <f>IF(B159&lt;&gt;"",Sheet1!F161,"")</f>
        <v/>
      </c>
      <c r="G159" s="31" t="str">
        <f>IF(B159&lt;&gt;"",Sheet1!G161,"")</f>
        <v/>
      </c>
      <c r="H159" s="31" t="str">
        <f>IF(C159&lt;&gt;"",Sheet1!H161,"")</f>
        <v/>
      </c>
      <c r="I159" s="30" t="str">
        <f>IF(C159&lt;&gt;"",Sheet1!I161,"")</f>
        <v/>
      </c>
    </row>
    <row r="160" spans="1:9">
      <c r="A160" s="30" t="str">
        <f t="shared" si="5"/>
        <v/>
      </c>
      <c r="B160" s="33" t="str">
        <f>IF(Sheet1!B167&lt;&gt;"",Sheet1!B167,"")</f>
        <v/>
      </c>
      <c r="C160" s="33" t="str">
        <f>IF(Sheet1!C167&lt;&gt;"",Sheet1!C167,"")</f>
        <v/>
      </c>
      <c r="D160" s="33" t="str">
        <f>IF(Sheet1!D167&lt;&gt;"",Sheet1!D167,"")</f>
        <v/>
      </c>
      <c r="E160" s="31" t="str">
        <f>IF(Sheet1!E162&lt;&gt;0,Sheet1!E162,"")</f>
        <v/>
      </c>
      <c r="F160" s="31" t="str">
        <f>IF(B160&lt;&gt;"",Sheet1!F162,"")</f>
        <v/>
      </c>
      <c r="G160" s="31" t="str">
        <f>IF(B160&lt;&gt;"",Sheet1!G162,"")</f>
        <v/>
      </c>
      <c r="H160" s="31" t="str">
        <f>IF(C160&lt;&gt;"",Sheet1!H162,"")</f>
        <v/>
      </c>
      <c r="I160" s="30" t="str">
        <f>IF(C160&lt;&gt;"",Sheet1!I162,"")</f>
        <v/>
      </c>
    </row>
    <row r="161" spans="1:9">
      <c r="A161" s="30" t="str">
        <f t="shared" si="5"/>
        <v/>
      </c>
      <c r="B161" s="33" t="str">
        <f>IF(Sheet1!B168&lt;&gt;"",Sheet1!B168,"")</f>
        <v/>
      </c>
      <c r="C161" s="33" t="str">
        <f>IF(Sheet1!C168&lt;&gt;"",Sheet1!C168,"")</f>
        <v/>
      </c>
      <c r="D161" s="33" t="str">
        <f>IF(Sheet1!D168&lt;&gt;"",Sheet1!D168,"")</f>
        <v/>
      </c>
      <c r="E161" s="31" t="str">
        <f>IF(Sheet1!E163&lt;&gt;0,Sheet1!E163,"")</f>
        <v/>
      </c>
      <c r="F161" s="31" t="str">
        <f>IF(B161&lt;&gt;"",Sheet1!F163,"")</f>
        <v/>
      </c>
      <c r="G161" s="31" t="str">
        <f>IF(B161&lt;&gt;"",Sheet1!G163,"")</f>
        <v/>
      </c>
      <c r="H161" s="31" t="str">
        <f>IF(C161&lt;&gt;"",Sheet1!H163,"")</f>
        <v/>
      </c>
      <c r="I161" s="30" t="str">
        <f>IF(C161&lt;&gt;"",Sheet1!I163,"")</f>
        <v/>
      </c>
    </row>
    <row r="162" spans="1:9">
      <c r="A162" s="30" t="str">
        <f t="shared" si="5"/>
        <v/>
      </c>
      <c r="B162" s="33" t="str">
        <f>IF(Sheet1!B169&lt;&gt;"",Sheet1!B169,"")</f>
        <v/>
      </c>
      <c r="C162" s="33" t="str">
        <f>IF(Sheet1!C169&lt;&gt;"",Sheet1!C169,"")</f>
        <v/>
      </c>
      <c r="D162" s="33" t="str">
        <f>IF(Sheet1!D169&lt;&gt;"",Sheet1!D169,"")</f>
        <v/>
      </c>
      <c r="E162" s="31" t="str">
        <f>IF(Sheet1!E164&lt;&gt;0,Sheet1!E164,"")</f>
        <v/>
      </c>
      <c r="F162" s="31" t="str">
        <f>IF(B162&lt;&gt;"",Sheet1!F164,"")</f>
        <v/>
      </c>
      <c r="G162" s="31" t="str">
        <f>IF(B162&lt;&gt;"",Sheet1!G164,"")</f>
        <v/>
      </c>
      <c r="H162" s="31" t="str">
        <f>IF(C162&lt;&gt;"",Sheet1!H164,"")</f>
        <v/>
      </c>
      <c r="I162" s="30" t="str">
        <f>IF(C162&lt;&gt;"",Sheet1!I164,"")</f>
        <v/>
      </c>
    </row>
    <row r="163" spans="1:9">
      <c r="A163" s="30" t="str">
        <f t="shared" si="5"/>
        <v/>
      </c>
      <c r="B163" s="33" t="str">
        <f>IF(Sheet1!B170&lt;&gt;"",Sheet1!B170,"")</f>
        <v/>
      </c>
      <c r="C163" s="33" t="str">
        <f>IF(Sheet1!C170&lt;&gt;"",Sheet1!C170,"")</f>
        <v/>
      </c>
      <c r="D163" s="33" t="str">
        <f>IF(Sheet1!D170&lt;&gt;"",Sheet1!D170,"")</f>
        <v/>
      </c>
      <c r="E163" s="31" t="str">
        <f>IF(Sheet1!E165&lt;&gt;0,Sheet1!E165,"")</f>
        <v/>
      </c>
      <c r="F163" s="31" t="str">
        <f>IF(B163&lt;&gt;"",Sheet1!F165,"")</f>
        <v/>
      </c>
      <c r="G163" s="31" t="str">
        <f>IF(B163&lt;&gt;"",Sheet1!G165,"")</f>
        <v/>
      </c>
      <c r="H163" s="31" t="str">
        <f>IF(C163&lt;&gt;"",Sheet1!H165,"")</f>
        <v/>
      </c>
      <c r="I163" s="30" t="str">
        <f>IF(C163&lt;&gt;"",Sheet1!I165,"")</f>
        <v/>
      </c>
    </row>
    <row r="164" spans="1:9">
      <c r="A164" s="30" t="str">
        <f t="shared" si="5"/>
        <v/>
      </c>
      <c r="B164" s="33" t="str">
        <f>IF(Sheet1!B171&lt;&gt;"",Sheet1!B171,"")</f>
        <v/>
      </c>
      <c r="C164" s="33" t="str">
        <f>IF(Sheet1!C171&lt;&gt;"",Sheet1!C171,"")</f>
        <v/>
      </c>
      <c r="D164" s="33" t="str">
        <f>IF(Sheet1!D171&lt;&gt;"",Sheet1!D171,"")</f>
        <v/>
      </c>
      <c r="E164" s="31" t="str">
        <f>IF(Sheet1!E166&lt;&gt;0,Sheet1!E166,"")</f>
        <v/>
      </c>
      <c r="F164" s="31" t="str">
        <f>IF(B164&lt;&gt;"",Sheet1!F166,"")</f>
        <v/>
      </c>
      <c r="G164" s="31" t="str">
        <f>IF(B164&lt;&gt;"",Sheet1!G166,"")</f>
        <v/>
      </c>
      <c r="H164" s="31" t="str">
        <f>IF(C164&lt;&gt;"",Sheet1!H166,"")</f>
        <v/>
      </c>
      <c r="I164" s="30" t="str">
        <f>IF(C164&lt;&gt;"",Sheet1!I166,"")</f>
        <v/>
      </c>
    </row>
    <row r="165" spans="1:9">
      <c r="A165" s="30" t="str">
        <f t="shared" si="5"/>
        <v/>
      </c>
      <c r="B165" s="33" t="str">
        <f>IF(Sheet1!B172&lt;&gt;"",Sheet1!B172,"")</f>
        <v/>
      </c>
      <c r="C165" s="33" t="str">
        <f>IF(Sheet1!C172&lt;&gt;"",Sheet1!C172,"")</f>
        <v/>
      </c>
      <c r="D165" s="33" t="str">
        <f>IF(Sheet1!D172&lt;&gt;"",Sheet1!D172,"")</f>
        <v/>
      </c>
      <c r="E165" s="31" t="str">
        <f>IF(Sheet1!E167&lt;&gt;0,Sheet1!E167,"")</f>
        <v/>
      </c>
      <c r="F165" s="31" t="str">
        <f>IF(B165&lt;&gt;"",Sheet1!F167,"")</f>
        <v/>
      </c>
      <c r="G165" s="31" t="str">
        <f>IF(B165&lt;&gt;"",Sheet1!G167,"")</f>
        <v/>
      </c>
      <c r="H165" s="31" t="str">
        <f>IF(C165&lt;&gt;"",Sheet1!H167,"")</f>
        <v/>
      </c>
      <c r="I165" s="30" t="str">
        <f>IF(C165&lt;&gt;"",Sheet1!I167,"")</f>
        <v/>
      </c>
    </row>
    <row r="166" spans="1:9">
      <c r="A166" s="30" t="str">
        <f t="shared" si="5"/>
        <v/>
      </c>
      <c r="B166" s="33" t="str">
        <f>IF(Sheet1!B173&lt;&gt;"",Sheet1!B173,"")</f>
        <v/>
      </c>
      <c r="C166" s="33" t="str">
        <f>IF(Sheet1!C173&lt;&gt;"",Sheet1!C173,"")</f>
        <v/>
      </c>
      <c r="D166" s="33" t="str">
        <f>IF(Sheet1!D173&lt;&gt;"",Sheet1!D173,"")</f>
        <v/>
      </c>
      <c r="E166" s="31" t="str">
        <f>IF(Sheet1!E168&lt;&gt;0,Sheet1!E168,"")</f>
        <v/>
      </c>
      <c r="F166" s="31" t="str">
        <f>IF(B166&lt;&gt;"",Sheet1!F168,"")</f>
        <v/>
      </c>
      <c r="G166" s="31" t="str">
        <f>IF(B166&lt;&gt;"",Sheet1!G168,"")</f>
        <v/>
      </c>
      <c r="H166" s="31" t="str">
        <f>IF(C166&lt;&gt;"",Sheet1!H168,"")</f>
        <v/>
      </c>
      <c r="I166" s="30" t="str">
        <f>IF(C166&lt;&gt;"",Sheet1!I168,"")</f>
        <v/>
      </c>
    </row>
    <row r="167" spans="1:9">
      <c r="A167" s="30" t="str">
        <f t="shared" si="5"/>
        <v/>
      </c>
      <c r="B167" s="33" t="str">
        <f>IF(Sheet1!B174&lt;&gt;"",Sheet1!B174,"")</f>
        <v/>
      </c>
      <c r="C167" s="33" t="str">
        <f>IF(Sheet1!C174&lt;&gt;"",Sheet1!C174,"")</f>
        <v/>
      </c>
      <c r="D167" s="33" t="str">
        <f>IF(Sheet1!D174&lt;&gt;"",Sheet1!D174,"")</f>
        <v/>
      </c>
      <c r="E167" s="31" t="str">
        <f>IF(Sheet1!E169&lt;&gt;0,Sheet1!E169,"")</f>
        <v/>
      </c>
      <c r="F167" s="31" t="str">
        <f>IF(B167&lt;&gt;"",Sheet1!F169,"")</f>
        <v/>
      </c>
      <c r="G167" s="31" t="str">
        <f>IF(B167&lt;&gt;"",Sheet1!G169,"")</f>
        <v/>
      </c>
      <c r="H167" s="31" t="str">
        <f>IF(C167&lt;&gt;"",Sheet1!H169,"")</f>
        <v/>
      </c>
      <c r="I167" s="30" t="str">
        <f>IF(C167&lt;&gt;"",Sheet1!I169,"")</f>
        <v/>
      </c>
    </row>
    <row r="168" spans="1:9">
      <c r="A168" s="30" t="str">
        <f t="shared" si="5"/>
        <v/>
      </c>
      <c r="B168" s="33" t="str">
        <f>IF(Sheet1!B175&lt;&gt;"",Sheet1!B175,"")</f>
        <v/>
      </c>
      <c r="C168" s="33" t="str">
        <f>IF(Sheet1!C175&lt;&gt;"",Sheet1!C175,"")</f>
        <v/>
      </c>
      <c r="D168" s="33" t="str">
        <f>IF(Sheet1!D175&lt;&gt;"",Sheet1!D175,"")</f>
        <v/>
      </c>
      <c r="E168" s="31" t="str">
        <f>IF(Sheet1!E170&lt;&gt;0,Sheet1!E170,"")</f>
        <v/>
      </c>
      <c r="F168" s="31" t="str">
        <f>IF(B168&lt;&gt;"",Sheet1!F170,"")</f>
        <v/>
      </c>
      <c r="G168" s="31" t="str">
        <f>IF(B168&lt;&gt;"",Sheet1!G170,"")</f>
        <v/>
      </c>
      <c r="H168" s="31" t="str">
        <f>IF(C168&lt;&gt;"",Sheet1!H170,"")</f>
        <v/>
      </c>
      <c r="I168" s="30" t="str">
        <f>IF(C168&lt;&gt;"",Sheet1!I170,"")</f>
        <v/>
      </c>
    </row>
    <row r="169" spans="1:9">
      <c r="A169" s="30" t="str">
        <f t="shared" si="5"/>
        <v/>
      </c>
      <c r="B169" s="33" t="str">
        <f>IF(Sheet1!B176&lt;&gt;"",Sheet1!B176,"")</f>
        <v/>
      </c>
      <c r="C169" s="33" t="str">
        <f>IF(Sheet1!C176&lt;&gt;"",Sheet1!C176,"")</f>
        <v/>
      </c>
      <c r="D169" s="33" t="str">
        <f>IF(Sheet1!D176&lt;&gt;"",Sheet1!D176,"")</f>
        <v/>
      </c>
      <c r="E169" s="31" t="str">
        <f>IF(Sheet1!E171&lt;&gt;0,Sheet1!E171,"")</f>
        <v/>
      </c>
      <c r="F169" s="31" t="str">
        <f>IF(B169&lt;&gt;"",Sheet1!F171,"")</f>
        <v/>
      </c>
      <c r="G169" s="31" t="str">
        <f>IF(B169&lt;&gt;"",Sheet1!G171,"")</f>
        <v/>
      </c>
      <c r="H169" s="31" t="str">
        <f>IF(C169&lt;&gt;"",Sheet1!H171,"")</f>
        <v/>
      </c>
      <c r="I169" s="30" t="str">
        <f>IF(C169&lt;&gt;"",Sheet1!I171,"")</f>
        <v/>
      </c>
    </row>
    <row r="170" spans="1:9">
      <c r="A170" s="30" t="str">
        <f t="shared" si="5"/>
        <v/>
      </c>
      <c r="B170" s="33" t="str">
        <f>IF(Sheet1!B177&lt;&gt;"",Sheet1!B177,"")</f>
        <v/>
      </c>
      <c r="C170" s="33" t="str">
        <f>IF(Sheet1!C177&lt;&gt;"",Sheet1!C177,"")</f>
        <v/>
      </c>
      <c r="D170" s="33" t="str">
        <f>IF(Sheet1!D177&lt;&gt;"",Sheet1!D177,"")</f>
        <v/>
      </c>
      <c r="E170" s="31" t="str">
        <f>IF(Sheet1!E172&lt;&gt;0,Sheet1!E172,"")</f>
        <v/>
      </c>
      <c r="F170" s="31" t="str">
        <f>IF(B170&lt;&gt;"",Sheet1!F172,"")</f>
        <v/>
      </c>
      <c r="G170" s="31" t="str">
        <f>IF(B170&lt;&gt;"",Sheet1!G172,"")</f>
        <v/>
      </c>
      <c r="H170" s="31" t="str">
        <f>IF(C170&lt;&gt;"",Sheet1!H172,"")</f>
        <v/>
      </c>
      <c r="I170" s="30" t="str">
        <f>IF(C170&lt;&gt;"",Sheet1!I172,"")</f>
        <v/>
      </c>
    </row>
    <row r="171" spans="1:9">
      <c r="A171" s="30" t="str">
        <f t="shared" si="5"/>
        <v/>
      </c>
      <c r="B171" s="33" t="str">
        <f>IF(Sheet1!B178&lt;&gt;"",Sheet1!B178,"")</f>
        <v/>
      </c>
      <c r="C171" s="33" t="str">
        <f>IF(Sheet1!C178&lt;&gt;"",Sheet1!C178,"")</f>
        <v/>
      </c>
      <c r="D171" s="33" t="str">
        <f>IF(Sheet1!D178&lt;&gt;"",Sheet1!D178,"")</f>
        <v/>
      </c>
      <c r="E171" s="31" t="str">
        <f>IF(Sheet1!E173&lt;&gt;0,Sheet1!E173,"")</f>
        <v/>
      </c>
      <c r="F171" s="31" t="str">
        <f>IF(B171&lt;&gt;"",Sheet1!F173,"")</f>
        <v/>
      </c>
      <c r="G171" s="31" t="str">
        <f>IF(B171&lt;&gt;"",Sheet1!G173,"")</f>
        <v/>
      </c>
      <c r="H171" s="31" t="str">
        <f>IF(C171&lt;&gt;"",Sheet1!H173,"")</f>
        <v/>
      </c>
      <c r="I171" s="30" t="str">
        <f>IF(C171&lt;&gt;"",Sheet1!I173,"")</f>
        <v/>
      </c>
    </row>
    <row r="172" spans="1:9">
      <c r="A172" s="30" t="str">
        <f t="shared" si="5"/>
        <v/>
      </c>
      <c r="B172" s="33" t="str">
        <f>IF(Sheet1!B179&lt;&gt;"",Sheet1!B179,"")</f>
        <v/>
      </c>
      <c r="C172" s="33" t="str">
        <f>IF(Sheet1!C179&lt;&gt;"",Sheet1!C179,"")</f>
        <v/>
      </c>
      <c r="D172" s="33" t="str">
        <f>IF(Sheet1!D179&lt;&gt;"",Sheet1!D179,"")</f>
        <v/>
      </c>
      <c r="E172" s="31" t="str">
        <f>IF(Sheet1!E174&lt;&gt;0,Sheet1!E174,"")</f>
        <v/>
      </c>
      <c r="F172" s="31" t="str">
        <f>IF(B172&lt;&gt;"",Sheet1!F174,"")</f>
        <v/>
      </c>
      <c r="G172" s="31" t="str">
        <f>IF(B172&lt;&gt;"",Sheet1!G174,"")</f>
        <v/>
      </c>
      <c r="H172" s="31" t="str">
        <f>IF(C172&lt;&gt;"",Sheet1!H174,"")</f>
        <v/>
      </c>
      <c r="I172" s="30" t="str">
        <f>IF(C172&lt;&gt;"",Sheet1!I174,"")</f>
        <v/>
      </c>
    </row>
    <row r="173" spans="1:9">
      <c r="A173" s="30" t="str">
        <f t="shared" si="5"/>
        <v/>
      </c>
      <c r="B173" s="33" t="str">
        <f>IF(Sheet1!B180&lt;&gt;"",Sheet1!B180,"")</f>
        <v/>
      </c>
      <c r="C173" s="33" t="str">
        <f>IF(Sheet1!C180&lt;&gt;"",Sheet1!C180,"")</f>
        <v/>
      </c>
      <c r="D173" s="33" t="str">
        <f>IF(Sheet1!D180&lt;&gt;"",Sheet1!D180,"")</f>
        <v/>
      </c>
      <c r="E173" s="31" t="str">
        <f>IF(Sheet1!E175&lt;&gt;0,Sheet1!E175,"")</f>
        <v/>
      </c>
      <c r="F173" s="31" t="str">
        <f>IF(B173&lt;&gt;"",Sheet1!F175,"")</f>
        <v/>
      </c>
      <c r="G173" s="31" t="str">
        <f>IF(B173&lt;&gt;"",Sheet1!G175,"")</f>
        <v/>
      </c>
      <c r="H173" s="31" t="str">
        <f>IF(C173&lt;&gt;"",Sheet1!H175,"")</f>
        <v/>
      </c>
      <c r="I173" s="30" t="str">
        <f>IF(C173&lt;&gt;"",Sheet1!I175,"")</f>
        <v/>
      </c>
    </row>
    <row r="174" spans="1:9">
      <c r="A174" s="30" t="str">
        <f t="shared" si="5"/>
        <v/>
      </c>
      <c r="B174" s="33" t="str">
        <f>IF(Sheet1!B181&lt;&gt;"",Sheet1!B181,"")</f>
        <v/>
      </c>
      <c r="C174" s="33" t="str">
        <f>IF(Sheet1!C181&lt;&gt;"",Sheet1!C181,"")</f>
        <v/>
      </c>
      <c r="D174" s="33" t="str">
        <f>IF(Sheet1!D181&lt;&gt;"",Sheet1!D181,"")</f>
        <v/>
      </c>
      <c r="E174" s="31" t="str">
        <f>IF(Sheet1!E176&lt;&gt;0,Sheet1!E176,"")</f>
        <v/>
      </c>
      <c r="F174" s="31" t="str">
        <f>IF(B174&lt;&gt;"",Sheet1!F176,"")</f>
        <v/>
      </c>
      <c r="G174" s="31" t="str">
        <f>IF(B174&lt;&gt;"",Sheet1!G176,"")</f>
        <v/>
      </c>
      <c r="H174" s="31" t="str">
        <f>IF(C174&lt;&gt;"",Sheet1!H176,"")</f>
        <v/>
      </c>
      <c r="I174" s="30" t="str">
        <f>IF(C174&lt;&gt;"",Sheet1!I176,"")</f>
        <v/>
      </c>
    </row>
    <row r="175" spans="1:9">
      <c r="A175" s="30" t="str">
        <f t="shared" si="5"/>
        <v/>
      </c>
      <c r="B175" s="33" t="str">
        <f>IF(Sheet1!B182&lt;&gt;"",Sheet1!B182,"")</f>
        <v/>
      </c>
      <c r="C175" s="33" t="str">
        <f>IF(Sheet1!C182&lt;&gt;"",Sheet1!C182,"")</f>
        <v/>
      </c>
      <c r="D175" s="33" t="str">
        <f>IF(Sheet1!D182&lt;&gt;"",Sheet1!D182,"")</f>
        <v/>
      </c>
      <c r="E175" s="31" t="str">
        <f>IF(Sheet1!E177&lt;&gt;0,Sheet1!E177,"")</f>
        <v/>
      </c>
      <c r="F175" s="31" t="str">
        <f>IF(B175&lt;&gt;"",Sheet1!F177,"")</f>
        <v/>
      </c>
      <c r="G175" s="31" t="str">
        <f>IF(B175&lt;&gt;"",Sheet1!G177,"")</f>
        <v/>
      </c>
      <c r="H175" s="31" t="str">
        <f>IF(C175&lt;&gt;"",Sheet1!H177,"")</f>
        <v/>
      </c>
      <c r="I175" s="30" t="str">
        <f>IF(C175&lt;&gt;"",Sheet1!I177,"")</f>
        <v/>
      </c>
    </row>
    <row r="176" spans="1:9">
      <c r="A176" s="30" t="str">
        <f t="shared" si="5"/>
        <v/>
      </c>
      <c r="B176" s="33" t="str">
        <f>IF(Sheet1!B183&lt;&gt;"",Sheet1!B183,"")</f>
        <v/>
      </c>
      <c r="C176" s="33" t="str">
        <f>IF(Sheet1!C183&lt;&gt;"",Sheet1!C183,"")</f>
        <v/>
      </c>
      <c r="D176" s="33" t="str">
        <f>IF(Sheet1!D183&lt;&gt;"",Sheet1!D183,"")</f>
        <v/>
      </c>
      <c r="E176" s="31" t="str">
        <f>IF(Sheet1!E178&lt;&gt;0,Sheet1!E178,"")</f>
        <v/>
      </c>
      <c r="F176" s="31" t="str">
        <f>IF(B176&lt;&gt;"",Sheet1!F178,"")</f>
        <v/>
      </c>
      <c r="G176" s="31" t="str">
        <f>IF(B176&lt;&gt;"",Sheet1!G178,"")</f>
        <v/>
      </c>
      <c r="H176" s="31" t="str">
        <f>IF(C176&lt;&gt;"",Sheet1!H178,"")</f>
        <v/>
      </c>
      <c r="I176" s="30" t="str">
        <f>IF(C176&lt;&gt;"",Sheet1!I178,"")</f>
        <v/>
      </c>
    </row>
    <row r="177" spans="1:9">
      <c r="A177" s="30" t="str">
        <f t="shared" si="5"/>
        <v/>
      </c>
      <c r="B177" s="33" t="str">
        <f>IF(Sheet1!B184&lt;&gt;"",Sheet1!B184,"")</f>
        <v/>
      </c>
      <c r="C177" s="33" t="str">
        <f>IF(Sheet1!C184&lt;&gt;"",Sheet1!C184,"")</f>
        <v/>
      </c>
      <c r="D177" s="33" t="str">
        <f>IF(Sheet1!D184&lt;&gt;"",Sheet1!D184,"")</f>
        <v/>
      </c>
      <c r="E177" s="31" t="str">
        <f>IF(Sheet1!E179&lt;&gt;0,Sheet1!E179,"")</f>
        <v/>
      </c>
      <c r="F177" s="31" t="str">
        <f>IF(B177&lt;&gt;"",Sheet1!F179,"")</f>
        <v/>
      </c>
      <c r="G177" s="31" t="str">
        <f>IF(B177&lt;&gt;"",Sheet1!G179,"")</f>
        <v/>
      </c>
      <c r="H177" s="31" t="str">
        <f>IF(C177&lt;&gt;"",Sheet1!H179,"")</f>
        <v/>
      </c>
      <c r="I177" s="30" t="str">
        <f>IF(C177&lt;&gt;"",Sheet1!I179,"")</f>
        <v/>
      </c>
    </row>
    <row r="178" spans="1:9">
      <c r="A178" s="30" t="str">
        <f t="shared" si="5"/>
        <v/>
      </c>
      <c r="B178" s="33" t="str">
        <f>IF(Sheet1!B185&lt;&gt;"",Sheet1!B185,"")</f>
        <v/>
      </c>
      <c r="C178" s="33" t="str">
        <f>IF(Sheet1!C185&lt;&gt;"",Sheet1!C185,"")</f>
        <v/>
      </c>
      <c r="D178" s="33" t="str">
        <f>IF(Sheet1!D185&lt;&gt;"",Sheet1!D185,"")</f>
        <v/>
      </c>
      <c r="E178" s="31" t="str">
        <f>IF(Sheet1!E180&lt;&gt;0,Sheet1!E180,"")</f>
        <v/>
      </c>
      <c r="F178" s="31" t="str">
        <f>IF(B178&lt;&gt;"",Sheet1!F180,"")</f>
        <v/>
      </c>
      <c r="G178" s="31" t="str">
        <f>IF(B178&lt;&gt;"",Sheet1!G180,"")</f>
        <v/>
      </c>
      <c r="H178" s="31" t="str">
        <f>IF(C178&lt;&gt;"",Sheet1!H180,"")</f>
        <v/>
      </c>
      <c r="I178" s="30" t="str">
        <f>IF(C178&lt;&gt;"",Sheet1!I180,"")</f>
        <v/>
      </c>
    </row>
    <row r="179" spans="1:9">
      <c r="A179" s="30" t="str">
        <f t="shared" si="5"/>
        <v/>
      </c>
      <c r="B179" s="33" t="str">
        <f>IF(Sheet1!B186&lt;&gt;"",Sheet1!B186,"")</f>
        <v/>
      </c>
      <c r="C179" s="33" t="str">
        <f>IF(Sheet1!C186&lt;&gt;"",Sheet1!C186,"")</f>
        <v/>
      </c>
      <c r="D179" s="33" t="str">
        <f>IF(Sheet1!D186&lt;&gt;"",Sheet1!D186,"")</f>
        <v/>
      </c>
      <c r="E179" s="31" t="str">
        <f>IF(Sheet1!E181&lt;&gt;0,Sheet1!E181,"")</f>
        <v/>
      </c>
      <c r="F179" s="31" t="str">
        <f>IF(B179&lt;&gt;"",Sheet1!F181,"")</f>
        <v/>
      </c>
      <c r="G179" s="31" t="str">
        <f>IF(B179&lt;&gt;"",Sheet1!G181,"")</f>
        <v/>
      </c>
      <c r="H179" s="31" t="str">
        <f>IF(C179&lt;&gt;"",Sheet1!H181,"")</f>
        <v/>
      </c>
      <c r="I179" s="30" t="str">
        <f>IF(C179&lt;&gt;"",Sheet1!I181,"")</f>
        <v/>
      </c>
    </row>
    <row r="180" spans="1:9">
      <c r="A180" s="30" t="str">
        <f t="shared" si="5"/>
        <v/>
      </c>
      <c r="B180" s="33" t="str">
        <f>IF(Sheet1!B187&lt;&gt;"",Sheet1!B187,"")</f>
        <v/>
      </c>
      <c r="C180" s="33" t="str">
        <f>IF(Sheet1!C187&lt;&gt;"",Sheet1!C187,"")</f>
        <v/>
      </c>
      <c r="D180" s="33" t="str">
        <f>IF(Sheet1!D187&lt;&gt;"",Sheet1!D187,"")</f>
        <v/>
      </c>
      <c r="E180" s="31" t="str">
        <f>IF(Sheet1!E182&lt;&gt;0,Sheet1!E182,"")</f>
        <v/>
      </c>
      <c r="F180" s="31" t="str">
        <f>IF(B180&lt;&gt;"",Sheet1!F182,"")</f>
        <v/>
      </c>
      <c r="G180" s="31" t="str">
        <f>IF(B180&lt;&gt;"",Sheet1!G182,"")</f>
        <v/>
      </c>
      <c r="H180" s="31" t="str">
        <f>IF(C180&lt;&gt;"",Sheet1!H182,"")</f>
        <v/>
      </c>
      <c r="I180" s="30" t="str">
        <f>IF(C180&lt;&gt;"",Sheet1!I182,"")</f>
        <v/>
      </c>
    </row>
    <row r="181" spans="1:9">
      <c r="A181" s="30" t="str">
        <f t="shared" si="5"/>
        <v/>
      </c>
      <c r="B181" s="33" t="str">
        <f>IF(Sheet1!B188&lt;&gt;"",Sheet1!B188,"")</f>
        <v/>
      </c>
      <c r="C181" s="33" t="str">
        <f>IF(Sheet1!C188&lt;&gt;"",Sheet1!C188,"")</f>
        <v/>
      </c>
      <c r="D181" s="33" t="str">
        <f>IF(Sheet1!D188&lt;&gt;"",Sheet1!D188,"")</f>
        <v/>
      </c>
      <c r="E181" s="31" t="str">
        <f>IF(Sheet1!E183&lt;&gt;0,Sheet1!E183,"")</f>
        <v/>
      </c>
      <c r="F181" s="31" t="str">
        <f>IF(B181&lt;&gt;"",Sheet1!F183,"")</f>
        <v/>
      </c>
      <c r="G181" s="31" t="str">
        <f>IF(B181&lt;&gt;"",Sheet1!G183,"")</f>
        <v/>
      </c>
      <c r="H181" s="31" t="str">
        <f>IF(C181&lt;&gt;"",Sheet1!H183,"")</f>
        <v/>
      </c>
      <c r="I181" s="30" t="str">
        <f>IF(C181&lt;&gt;"",Sheet1!I183,"")</f>
        <v/>
      </c>
    </row>
    <row r="182" spans="1:9">
      <c r="A182" s="30" t="str">
        <f t="shared" si="5"/>
        <v/>
      </c>
      <c r="B182" s="33" t="str">
        <f>IF(Sheet1!B189&lt;&gt;"",Sheet1!B189,"")</f>
        <v/>
      </c>
      <c r="C182" s="33" t="str">
        <f>IF(Sheet1!C189&lt;&gt;"",Sheet1!C189,"")</f>
        <v/>
      </c>
      <c r="D182" s="33" t="str">
        <f>IF(Sheet1!D189&lt;&gt;"",Sheet1!D189,"")</f>
        <v/>
      </c>
      <c r="E182" s="31" t="str">
        <f>IF(Sheet1!E184&lt;&gt;0,Sheet1!E184,"")</f>
        <v/>
      </c>
      <c r="F182" s="31" t="str">
        <f>IF(B182&lt;&gt;"",Sheet1!F184,"")</f>
        <v/>
      </c>
      <c r="G182" s="31" t="str">
        <f>IF(B182&lt;&gt;"",Sheet1!G184,"")</f>
        <v/>
      </c>
      <c r="H182" s="31" t="str">
        <f>IF(C182&lt;&gt;"",Sheet1!H184,"")</f>
        <v/>
      </c>
      <c r="I182" s="30" t="str">
        <f>IF(C182&lt;&gt;"",Sheet1!I184,"")</f>
        <v/>
      </c>
    </row>
    <row r="183" spans="1:9">
      <c r="A183" s="30" t="str">
        <f t="shared" si="5"/>
        <v/>
      </c>
      <c r="B183" s="33" t="str">
        <f>IF(Sheet1!B190&lt;&gt;"",Sheet1!B190,"")</f>
        <v/>
      </c>
      <c r="C183" s="33" t="str">
        <f>IF(Sheet1!C190&lt;&gt;"",Sheet1!C190,"")</f>
        <v/>
      </c>
      <c r="D183" s="33" t="str">
        <f>IF(Sheet1!D190&lt;&gt;"",Sheet1!D190,"")</f>
        <v/>
      </c>
      <c r="E183" s="31" t="str">
        <f>IF(Sheet1!E185&lt;&gt;0,Sheet1!E185,"")</f>
        <v/>
      </c>
      <c r="F183" s="31" t="str">
        <f>IF(B183&lt;&gt;"",Sheet1!F185,"")</f>
        <v/>
      </c>
      <c r="G183" s="31" t="str">
        <f>IF(B183&lt;&gt;"",Sheet1!G185,"")</f>
        <v/>
      </c>
      <c r="H183" s="31" t="str">
        <f>IF(C183&lt;&gt;"",Sheet1!H185,"")</f>
        <v/>
      </c>
      <c r="I183" s="30" t="str">
        <f>IF(C183&lt;&gt;"",Sheet1!I185,"")</f>
        <v/>
      </c>
    </row>
    <row r="184" spans="1:9">
      <c r="A184" s="30" t="str">
        <f t="shared" si="5"/>
        <v/>
      </c>
      <c r="B184" s="33" t="str">
        <f>IF(Sheet1!B191&lt;&gt;"",Sheet1!B191,"")</f>
        <v/>
      </c>
      <c r="C184" s="33" t="str">
        <f>IF(Sheet1!C191&lt;&gt;"",Sheet1!C191,"")</f>
        <v/>
      </c>
      <c r="D184" s="33" t="str">
        <f>IF(Sheet1!D191&lt;&gt;"",Sheet1!D191,"")</f>
        <v/>
      </c>
      <c r="E184" s="31" t="str">
        <f>IF(Sheet1!E186&lt;&gt;0,Sheet1!E186,"")</f>
        <v/>
      </c>
      <c r="F184" s="31" t="str">
        <f>IF(B184&lt;&gt;"",Sheet1!F186,"")</f>
        <v/>
      </c>
      <c r="G184" s="31" t="str">
        <f>IF(B184&lt;&gt;"",Sheet1!G186,"")</f>
        <v/>
      </c>
      <c r="H184" s="31" t="str">
        <f>IF(C184&lt;&gt;"",Sheet1!H186,"")</f>
        <v/>
      </c>
      <c r="I184" s="30" t="str">
        <f>IF(C184&lt;&gt;"",Sheet1!I186,"")</f>
        <v/>
      </c>
    </row>
    <row r="185" spans="1:9">
      <c r="A185" s="30" t="str">
        <f t="shared" si="5"/>
        <v/>
      </c>
      <c r="B185" s="33" t="str">
        <f>IF(Sheet1!B192&lt;&gt;"",Sheet1!B192,"")</f>
        <v/>
      </c>
      <c r="C185" s="33" t="str">
        <f>IF(Sheet1!C192&lt;&gt;"",Sheet1!C192,"")</f>
        <v/>
      </c>
      <c r="D185" s="33" t="str">
        <f>IF(Sheet1!D192&lt;&gt;"",Sheet1!D192,"")</f>
        <v/>
      </c>
      <c r="E185" s="31" t="str">
        <f>IF(Sheet1!E187&lt;&gt;0,Sheet1!E187,"")</f>
        <v/>
      </c>
      <c r="F185" s="31" t="str">
        <f>IF(B185&lt;&gt;"",Sheet1!F187,"")</f>
        <v/>
      </c>
      <c r="G185" s="31" t="str">
        <f>IF(B185&lt;&gt;"",Sheet1!G187,"")</f>
        <v/>
      </c>
      <c r="H185" s="31" t="str">
        <f>IF(C185&lt;&gt;"",Sheet1!H187,"")</f>
        <v/>
      </c>
      <c r="I185" s="30" t="str">
        <f>IF(C185&lt;&gt;"",Sheet1!I187,"")</f>
        <v/>
      </c>
    </row>
    <row r="186" spans="1:9">
      <c r="A186" s="30" t="str">
        <f t="shared" ref="A186:A189" si="6">IF(B186="","",IF(I186=0,"---",RANK(I186,$I$5:$I$164,0)))</f>
        <v/>
      </c>
      <c r="B186" s="33" t="str">
        <f>IF(Sheet1!B193&lt;&gt;"",Sheet1!B193,"")</f>
        <v/>
      </c>
      <c r="C186" s="33" t="str">
        <f>IF(Sheet1!C193&lt;&gt;"",Sheet1!C193,"")</f>
        <v/>
      </c>
      <c r="D186" s="33" t="str">
        <f>IF(Sheet1!D193&lt;&gt;"",Sheet1!D193,"")</f>
        <v/>
      </c>
      <c r="E186" s="31" t="str">
        <f>IF(Sheet1!E188&lt;&gt;0,Sheet1!E188,"")</f>
        <v/>
      </c>
      <c r="F186" s="31" t="str">
        <f>IF(B186&lt;&gt;"",Sheet1!F188,"")</f>
        <v/>
      </c>
      <c r="G186" s="31" t="str">
        <f>IF(B186&lt;&gt;"",Sheet1!G188,"")</f>
        <v/>
      </c>
      <c r="H186" s="31" t="str">
        <f>IF(C186&lt;&gt;"",Sheet1!H188,"")</f>
        <v/>
      </c>
      <c r="I186" s="30" t="str">
        <f>IF(C186&lt;&gt;"",Sheet1!I188,"")</f>
        <v/>
      </c>
    </row>
    <row r="187" spans="1:9">
      <c r="A187" s="30" t="str">
        <f t="shared" si="6"/>
        <v/>
      </c>
      <c r="B187" s="33" t="str">
        <f>IF(Sheet1!B194&lt;&gt;"",Sheet1!B194,"")</f>
        <v/>
      </c>
      <c r="C187" s="33" t="str">
        <f>IF(Sheet1!C194&lt;&gt;"",Sheet1!C194,"")</f>
        <v/>
      </c>
      <c r="D187" s="33" t="str">
        <f>IF(Sheet1!D194&lt;&gt;"",Sheet1!D194,"")</f>
        <v/>
      </c>
      <c r="E187" s="31" t="str">
        <f>IF(Sheet1!E189&lt;&gt;0,Sheet1!E189,"")</f>
        <v/>
      </c>
      <c r="F187" s="31" t="str">
        <f>IF(B187&lt;&gt;"",Sheet1!F189,"")</f>
        <v/>
      </c>
      <c r="G187" s="31" t="str">
        <f>IF(B187&lt;&gt;"",Sheet1!G189,"")</f>
        <v/>
      </c>
      <c r="H187" s="31" t="str">
        <f>IF(C187&lt;&gt;"",Sheet1!H189,"")</f>
        <v/>
      </c>
      <c r="I187" s="30" t="str">
        <f>IF(C187&lt;&gt;"",Sheet1!I189,"")</f>
        <v/>
      </c>
    </row>
    <row r="188" spans="1:9">
      <c r="A188" s="30" t="str">
        <f t="shared" si="6"/>
        <v/>
      </c>
      <c r="B188" s="33" t="str">
        <f>IF(Sheet1!B195&lt;&gt;"",Sheet1!B195,"")</f>
        <v/>
      </c>
      <c r="C188" s="33" t="str">
        <f>IF(Sheet1!C195&lt;&gt;"",Sheet1!C195,"")</f>
        <v/>
      </c>
      <c r="D188" s="33" t="str">
        <f>IF(Sheet1!D195&lt;&gt;"",Sheet1!D195,"")</f>
        <v/>
      </c>
      <c r="E188" s="31" t="str">
        <f>IF(Sheet1!E190&lt;&gt;0,Sheet1!E190,"")</f>
        <v/>
      </c>
      <c r="F188" s="31" t="str">
        <f>IF(B188&lt;&gt;"",Sheet1!F190,"")</f>
        <v/>
      </c>
      <c r="G188" s="31" t="str">
        <f>IF(B188&lt;&gt;"",Sheet1!G190,"")</f>
        <v/>
      </c>
      <c r="H188" s="31" t="str">
        <f>IF(C188&lt;&gt;"",Sheet1!H190,"")</f>
        <v/>
      </c>
      <c r="I188" s="30" t="str">
        <f>IF(C188&lt;&gt;"",Sheet1!I190,"")</f>
        <v/>
      </c>
    </row>
    <row r="189" spans="1:9">
      <c r="A189" s="30" t="str">
        <f t="shared" si="6"/>
        <v/>
      </c>
      <c r="B189" s="33" t="str">
        <f>IF(Sheet1!B196&lt;&gt;"",Sheet1!B196,"")</f>
        <v/>
      </c>
      <c r="C189" s="33" t="str">
        <f>IF(Sheet1!C196&lt;&gt;"",Sheet1!C196,"")</f>
        <v/>
      </c>
      <c r="D189" s="33" t="str">
        <f>IF(Sheet1!D196&lt;&gt;"",Sheet1!D196,"")</f>
        <v/>
      </c>
      <c r="E189" s="31" t="str">
        <f>IF(Sheet1!E191&lt;&gt;0,Sheet1!E191,"")</f>
        <v/>
      </c>
      <c r="F189" s="31" t="str">
        <f>IF(B189&lt;&gt;"",Sheet1!F191,"")</f>
        <v/>
      </c>
      <c r="G189" s="31" t="str">
        <f>IF(B189&lt;&gt;"",Sheet1!G191,"")</f>
        <v/>
      </c>
      <c r="H189" s="31" t="str">
        <f>IF(C189&lt;&gt;"",Sheet1!H191,"")</f>
        <v/>
      </c>
      <c r="I189" s="30" t="str">
        <f>IF(C189&lt;&gt;"",Sheet1!I191,"")</f>
        <v/>
      </c>
    </row>
    <row r="190" spans="1:9">
      <c r="A190" s="32"/>
      <c r="B190" s="34"/>
      <c r="C190" s="34"/>
      <c r="D190" s="34"/>
      <c r="E190" s="32"/>
      <c r="F190" s="32"/>
      <c r="G190" s="32"/>
      <c r="H190" s="32"/>
      <c r="I190" s="35"/>
    </row>
    <row r="191" spans="1:9">
      <c r="A191" s="32"/>
      <c r="B191" s="34"/>
      <c r="C191" s="34"/>
      <c r="D191" s="34"/>
      <c r="E191" s="32"/>
      <c r="F191" s="32"/>
      <c r="G191" s="32"/>
      <c r="H191" s="32"/>
      <c r="I191" s="35"/>
    </row>
    <row r="192" spans="1:9">
      <c r="A192" s="32"/>
      <c r="B192" s="34"/>
      <c r="C192" s="34"/>
      <c r="D192" s="34"/>
      <c r="E192" s="32"/>
      <c r="F192" s="32"/>
      <c r="G192" s="32"/>
      <c r="H192" s="32"/>
      <c r="I192" s="35"/>
    </row>
    <row r="193" spans="1:9">
      <c r="A193" s="32"/>
      <c r="B193" s="34"/>
      <c r="C193" s="34"/>
      <c r="D193" s="34"/>
      <c r="E193" s="32"/>
      <c r="F193" s="32"/>
      <c r="G193" s="32"/>
      <c r="H193" s="32"/>
      <c r="I193" s="35"/>
    </row>
    <row r="194" spans="1:9">
      <c r="A194" s="32"/>
      <c r="B194" s="34"/>
      <c r="C194" s="34"/>
      <c r="D194" s="34"/>
      <c r="E194" s="32"/>
      <c r="F194" s="32"/>
      <c r="G194" s="32"/>
      <c r="H194" s="32"/>
      <c r="I194" s="35"/>
    </row>
    <row r="195" spans="1:9">
      <c r="A195" s="32"/>
      <c r="B195" s="34"/>
      <c r="C195" s="34"/>
      <c r="D195" s="34"/>
      <c r="E195" s="32"/>
      <c r="F195" s="32"/>
      <c r="G195" s="32"/>
      <c r="H195" s="32"/>
      <c r="I195" s="35"/>
    </row>
    <row r="196" spans="1:9">
      <c r="A196" s="32"/>
      <c r="B196" s="34"/>
      <c r="C196" s="34"/>
      <c r="D196" s="34"/>
      <c r="E196" s="32"/>
      <c r="F196" s="32"/>
      <c r="G196" s="32"/>
      <c r="H196" s="32"/>
      <c r="I196" s="35"/>
    </row>
    <row r="197" spans="1:9">
      <c r="A197" s="32"/>
      <c r="B197" s="34"/>
      <c r="C197" s="34"/>
      <c r="D197" s="34"/>
      <c r="E197" s="32"/>
      <c r="F197" s="32"/>
      <c r="G197" s="32"/>
      <c r="H197" s="32"/>
      <c r="I197" s="35"/>
    </row>
    <row r="198" spans="1:9">
      <c r="A198" s="32"/>
      <c r="B198" s="34"/>
      <c r="C198" s="34"/>
      <c r="D198" s="34"/>
      <c r="E198" s="32"/>
      <c r="F198" s="32"/>
      <c r="G198" s="32"/>
      <c r="H198" s="32"/>
      <c r="I198" s="35"/>
    </row>
    <row r="199" spans="1:9">
      <c r="A199" s="32"/>
      <c r="B199" s="34"/>
      <c r="C199" s="34"/>
      <c r="D199" s="34"/>
      <c r="E199" s="32"/>
      <c r="F199" s="32"/>
      <c r="G199" s="32"/>
      <c r="H199" s="32"/>
      <c r="I199" s="35"/>
    </row>
    <row r="200" spans="1:9">
      <c r="A200" s="32"/>
      <c r="B200" s="34"/>
      <c r="C200" s="34"/>
      <c r="D200" s="34"/>
      <c r="E200" s="32"/>
      <c r="F200" s="32"/>
      <c r="G200" s="32"/>
      <c r="H200" s="32"/>
      <c r="I200" s="35"/>
    </row>
    <row r="201" spans="1:9">
      <c r="A201" s="32"/>
      <c r="B201" s="34"/>
      <c r="C201" s="34"/>
      <c r="D201" s="34"/>
      <c r="E201" s="32"/>
      <c r="F201" s="32"/>
      <c r="G201" s="32"/>
      <c r="H201" s="32"/>
      <c r="I201" s="35"/>
    </row>
    <row r="202" spans="1:9">
      <c r="A202" s="32"/>
      <c r="B202" s="34"/>
      <c r="C202" s="34"/>
      <c r="D202" s="34"/>
      <c r="E202" s="32"/>
      <c r="F202" s="32"/>
      <c r="G202" s="32"/>
      <c r="H202" s="32"/>
      <c r="I202" s="35"/>
    </row>
    <row r="203" spans="1:9">
      <c r="A203" s="32"/>
      <c r="B203" s="34"/>
      <c r="C203" s="34"/>
      <c r="D203" s="34"/>
      <c r="E203" s="32"/>
      <c r="F203" s="32"/>
      <c r="G203" s="32"/>
      <c r="H203" s="32"/>
      <c r="I203" s="35"/>
    </row>
    <row r="204" spans="1:9">
      <c r="A204" s="32"/>
      <c r="B204" s="34"/>
      <c r="C204" s="34"/>
      <c r="D204" s="34"/>
      <c r="E204" s="32"/>
      <c r="F204" s="32"/>
      <c r="G204" s="32"/>
      <c r="H204" s="32"/>
      <c r="I204" s="35"/>
    </row>
    <row r="205" spans="1:9">
      <c r="A205" s="32"/>
      <c r="B205" s="34"/>
      <c r="C205" s="34"/>
      <c r="D205" s="34"/>
      <c r="E205" s="32"/>
      <c r="F205" s="32"/>
      <c r="G205" s="32"/>
      <c r="H205" s="32"/>
      <c r="I205" s="35"/>
    </row>
    <row r="206" spans="1:9">
      <c r="A206" s="32"/>
      <c r="B206" s="34"/>
      <c r="C206" s="34"/>
      <c r="D206" s="34"/>
      <c r="E206" s="32"/>
      <c r="F206" s="32"/>
      <c r="G206" s="32"/>
      <c r="H206" s="32"/>
      <c r="I206" s="35"/>
    </row>
    <row r="207" spans="1:9">
      <c r="A207" s="32"/>
      <c r="B207" s="34"/>
      <c r="C207" s="34"/>
      <c r="D207" s="34"/>
      <c r="E207" s="32"/>
      <c r="F207" s="32"/>
      <c r="G207" s="32"/>
      <c r="H207" s="32"/>
      <c r="I207" s="35"/>
    </row>
    <row r="208" spans="1:9">
      <c r="A208" s="32"/>
      <c r="B208" s="34"/>
      <c r="C208" s="34"/>
      <c r="D208" s="34"/>
      <c r="E208" s="32"/>
      <c r="F208" s="32"/>
      <c r="G208" s="32"/>
      <c r="H208" s="32"/>
      <c r="I208" s="35"/>
    </row>
    <row r="209" spans="1:9">
      <c r="A209" s="32"/>
      <c r="B209" s="34"/>
      <c r="C209" s="34"/>
      <c r="D209" s="34"/>
      <c r="E209" s="32"/>
      <c r="F209" s="32"/>
      <c r="G209" s="32"/>
      <c r="H209" s="32"/>
      <c r="I209" s="35"/>
    </row>
    <row r="210" spans="1:9">
      <c r="A210" s="32"/>
      <c r="B210" s="34"/>
      <c r="C210" s="34"/>
      <c r="D210" s="34"/>
      <c r="E210" s="32"/>
      <c r="F210" s="32"/>
      <c r="G210" s="32"/>
      <c r="H210" s="32"/>
      <c r="I210" s="35"/>
    </row>
    <row r="211" spans="1:9">
      <c r="A211" s="32"/>
      <c r="B211" s="34"/>
      <c r="C211" s="34"/>
      <c r="D211" s="34"/>
      <c r="E211" s="32"/>
      <c r="F211" s="32"/>
      <c r="G211" s="32"/>
      <c r="H211" s="32"/>
      <c r="I211" s="35"/>
    </row>
    <row r="212" spans="1:9">
      <c r="A212" s="32"/>
      <c r="B212" s="34"/>
      <c r="C212" s="34"/>
      <c r="D212" s="34"/>
      <c r="E212" s="32"/>
      <c r="F212" s="32"/>
      <c r="G212" s="32"/>
      <c r="H212" s="32"/>
      <c r="I212" s="35"/>
    </row>
    <row r="213" spans="1:9">
      <c r="A213" s="32"/>
      <c r="B213" s="34"/>
      <c r="C213" s="34"/>
      <c r="D213" s="34"/>
      <c r="E213" s="32"/>
      <c r="F213" s="32"/>
      <c r="G213" s="32"/>
      <c r="H213" s="32"/>
      <c r="I213" s="35"/>
    </row>
    <row r="214" spans="1:9">
      <c r="A214" s="32"/>
      <c r="B214" s="34"/>
      <c r="C214" s="34"/>
      <c r="D214" s="34"/>
      <c r="E214" s="32"/>
      <c r="F214" s="32"/>
      <c r="G214" s="32"/>
      <c r="H214" s="32"/>
      <c r="I214" s="35"/>
    </row>
    <row r="215" spans="1:9">
      <c r="A215" s="32"/>
      <c r="B215" s="34"/>
      <c r="C215" s="34"/>
      <c r="D215" s="34"/>
      <c r="E215" s="32"/>
      <c r="F215" s="32"/>
      <c r="G215" s="32"/>
      <c r="H215" s="32"/>
      <c r="I215" s="35"/>
    </row>
    <row r="216" spans="1:9">
      <c r="A216" s="32"/>
      <c r="B216" s="34"/>
      <c r="C216" s="34"/>
      <c r="D216" s="34"/>
      <c r="E216" s="32"/>
      <c r="F216" s="32"/>
      <c r="G216" s="32"/>
      <c r="H216" s="32"/>
      <c r="I216" s="35"/>
    </row>
    <row r="217" spans="1:9">
      <c r="A217" s="32"/>
      <c r="B217" s="34"/>
      <c r="C217" s="34"/>
      <c r="D217" s="34"/>
      <c r="E217" s="32"/>
      <c r="F217" s="32"/>
      <c r="G217" s="32"/>
      <c r="H217" s="32"/>
      <c r="I217" s="35"/>
    </row>
    <row r="218" spans="1:9">
      <c r="A218" s="32"/>
      <c r="B218" s="34"/>
      <c r="C218" s="34"/>
      <c r="D218" s="34"/>
      <c r="E218" s="32"/>
      <c r="F218" s="32"/>
      <c r="G218" s="32"/>
      <c r="H218" s="32"/>
      <c r="I218" s="35"/>
    </row>
    <row r="219" spans="1:9">
      <c r="A219" s="32"/>
      <c r="B219" s="34"/>
      <c r="C219" s="34"/>
      <c r="D219" s="34"/>
      <c r="E219" s="32"/>
      <c r="F219" s="32"/>
      <c r="G219" s="32"/>
      <c r="H219" s="32"/>
      <c r="I219" s="35"/>
    </row>
    <row r="220" spans="1:9">
      <c r="A220" s="32"/>
      <c r="B220" s="34"/>
      <c r="C220" s="34"/>
      <c r="D220" s="34"/>
      <c r="E220" s="32"/>
      <c r="F220" s="32"/>
      <c r="G220" s="32"/>
      <c r="H220" s="32"/>
      <c r="I220" s="35"/>
    </row>
    <row r="221" spans="1:9">
      <c r="A221" s="32"/>
      <c r="B221" s="34"/>
      <c r="C221" s="34"/>
      <c r="D221" s="34"/>
      <c r="E221" s="32"/>
      <c r="F221" s="32"/>
      <c r="G221" s="32"/>
      <c r="H221" s="32"/>
      <c r="I221" s="35"/>
    </row>
    <row r="222" spans="1:9">
      <c r="A222" s="32"/>
      <c r="B222" s="34"/>
      <c r="C222" s="34"/>
      <c r="D222" s="34"/>
      <c r="E222" s="32"/>
      <c r="F222" s="32"/>
      <c r="G222" s="32"/>
      <c r="H222" s="32"/>
      <c r="I222" s="35"/>
    </row>
    <row r="223" spans="1:9">
      <c r="A223" s="32"/>
      <c r="B223" s="34"/>
      <c r="C223" s="34"/>
      <c r="D223" s="34"/>
      <c r="E223" s="32"/>
      <c r="F223" s="32"/>
      <c r="G223" s="32"/>
      <c r="H223" s="32"/>
      <c r="I223" s="35"/>
    </row>
    <row r="224" spans="1:9">
      <c r="A224" s="32"/>
      <c r="B224" s="34"/>
      <c r="C224" s="34"/>
      <c r="D224" s="34"/>
      <c r="E224" s="32"/>
      <c r="F224" s="32"/>
      <c r="G224" s="32"/>
      <c r="H224" s="32"/>
      <c r="I224" s="35"/>
    </row>
    <row r="225" spans="1:9">
      <c r="A225" s="32"/>
      <c r="B225" s="34"/>
      <c r="C225" s="34"/>
      <c r="D225" s="34"/>
      <c r="E225" s="32"/>
      <c r="F225" s="32"/>
      <c r="G225" s="32"/>
      <c r="H225" s="32"/>
      <c r="I225" s="35"/>
    </row>
    <row r="226" spans="1:9">
      <c r="A226" s="32"/>
      <c r="B226" s="34"/>
      <c r="C226" s="34"/>
      <c r="D226" s="34"/>
      <c r="E226" s="32"/>
      <c r="F226" s="32"/>
      <c r="G226" s="32"/>
      <c r="H226" s="32"/>
      <c r="I226" s="35"/>
    </row>
    <row r="227" spans="1:9">
      <c r="A227" s="32"/>
      <c r="B227" s="34"/>
      <c r="C227" s="34"/>
      <c r="D227" s="34"/>
      <c r="E227" s="32"/>
      <c r="F227" s="32"/>
      <c r="G227" s="32"/>
      <c r="H227" s="32"/>
      <c r="I227" s="35"/>
    </row>
    <row r="228" spans="1:9">
      <c r="A228" s="32"/>
      <c r="B228" s="34"/>
      <c r="C228" s="34"/>
      <c r="D228" s="34"/>
      <c r="E228" s="32"/>
      <c r="F228" s="32"/>
      <c r="G228" s="32"/>
      <c r="H228" s="32"/>
      <c r="I228" s="35"/>
    </row>
    <row r="229" spans="1:9">
      <c r="A229" s="32"/>
      <c r="B229" s="34"/>
      <c r="C229" s="34"/>
      <c r="D229" s="34"/>
      <c r="E229" s="32"/>
      <c r="F229" s="32"/>
      <c r="G229" s="32"/>
      <c r="H229" s="32"/>
      <c r="I229" s="35"/>
    </row>
    <row r="230" spans="1:9">
      <c r="A230" s="32"/>
      <c r="B230" s="34"/>
      <c r="C230" s="34"/>
      <c r="D230" s="34"/>
      <c r="E230" s="32"/>
      <c r="F230" s="32"/>
      <c r="G230" s="32"/>
      <c r="H230" s="32"/>
      <c r="I230" s="35"/>
    </row>
    <row r="231" spans="1:9">
      <c r="A231" s="32"/>
      <c r="B231" s="34"/>
      <c r="C231" s="34"/>
      <c r="D231" s="34"/>
      <c r="E231" s="32"/>
      <c r="F231" s="32"/>
      <c r="G231" s="32"/>
      <c r="H231" s="32"/>
      <c r="I231" s="35"/>
    </row>
    <row r="232" spans="1:9">
      <c r="A232" s="32"/>
      <c r="B232" s="34"/>
      <c r="C232" s="34"/>
      <c r="D232" s="34"/>
      <c r="E232" s="32"/>
      <c r="F232" s="32"/>
      <c r="G232" s="32"/>
      <c r="H232" s="32"/>
      <c r="I232" s="35"/>
    </row>
    <row r="233" spans="1:9">
      <c r="A233" s="32"/>
      <c r="B233" s="34"/>
      <c r="C233" s="34"/>
      <c r="D233" s="34"/>
      <c r="E233" s="32"/>
      <c r="F233" s="32"/>
      <c r="G233" s="32"/>
      <c r="H233" s="32"/>
      <c r="I233" s="35"/>
    </row>
    <row r="234" spans="1:9">
      <c r="A234" s="32"/>
      <c r="B234" s="34"/>
      <c r="C234" s="34"/>
      <c r="D234" s="34"/>
      <c r="E234" s="32"/>
      <c r="F234" s="32"/>
      <c r="G234" s="32"/>
      <c r="H234" s="32"/>
      <c r="I234" s="35"/>
    </row>
    <row r="235" spans="1:9">
      <c r="A235" s="32"/>
      <c r="B235" s="34"/>
      <c r="C235" s="34"/>
      <c r="D235" s="34"/>
      <c r="E235" s="32"/>
      <c r="F235" s="32"/>
      <c r="G235" s="32"/>
      <c r="H235" s="32"/>
      <c r="I235" s="35"/>
    </row>
    <row r="236" spans="1:9">
      <c r="A236" s="32"/>
      <c r="B236" s="34"/>
      <c r="C236" s="34"/>
      <c r="D236" s="34"/>
      <c r="E236" s="32"/>
      <c r="F236" s="32"/>
      <c r="G236" s="32"/>
      <c r="H236" s="32"/>
      <c r="I236" s="35"/>
    </row>
    <row r="237" spans="1:9">
      <c r="A237" s="32"/>
      <c r="B237" s="34"/>
      <c r="C237" s="34"/>
      <c r="D237" s="34"/>
      <c r="E237" s="32"/>
      <c r="F237" s="32"/>
      <c r="G237" s="32"/>
      <c r="H237" s="32"/>
      <c r="I237" s="35"/>
    </row>
    <row r="238" spans="1:9">
      <c r="A238" s="32"/>
      <c r="B238" s="34"/>
      <c r="C238" s="34"/>
      <c r="D238" s="34"/>
      <c r="E238" s="32"/>
      <c r="F238" s="32"/>
      <c r="G238" s="32"/>
      <c r="H238" s="32"/>
      <c r="I238" s="35"/>
    </row>
    <row r="239" spans="1:9">
      <c r="A239" s="32"/>
      <c r="B239" s="34"/>
      <c r="C239" s="34"/>
      <c r="D239" s="34"/>
      <c r="E239" s="32"/>
      <c r="F239" s="32"/>
      <c r="G239" s="32"/>
      <c r="H239" s="32"/>
      <c r="I239" s="35"/>
    </row>
    <row r="240" spans="1:9">
      <c r="A240" s="32"/>
      <c r="B240" s="34"/>
      <c r="C240" s="34"/>
      <c r="D240" s="34"/>
      <c r="E240" s="32"/>
      <c r="F240" s="32"/>
      <c r="G240" s="32"/>
      <c r="H240" s="32"/>
      <c r="I240" s="35"/>
    </row>
    <row r="241" spans="1:9">
      <c r="A241" s="32"/>
      <c r="B241" s="34"/>
      <c r="C241" s="34"/>
      <c r="D241" s="34"/>
      <c r="E241" s="32"/>
      <c r="F241" s="32"/>
      <c r="G241" s="32"/>
      <c r="H241" s="32"/>
      <c r="I241" s="35"/>
    </row>
    <row r="242" spans="1:9">
      <c r="A242" s="32"/>
      <c r="B242" s="34"/>
      <c r="C242" s="34"/>
      <c r="D242" s="34"/>
      <c r="E242" s="32"/>
      <c r="F242" s="32"/>
      <c r="G242" s="32"/>
      <c r="H242" s="32"/>
      <c r="I242" s="35"/>
    </row>
    <row r="243" spans="1:9">
      <c r="A243" s="32"/>
      <c r="B243" s="34"/>
      <c r="C243" s="34"/>
      <c r="D243" s="34"/>
      <c r="E243" s="32"/>
      <c r="F243" s="32"/>
      <c r="G243" s="32"/>
      <c r="H243" s="32"/>
      <c r="I243" s="35"/>
    </row>
    <row r="244" spans="1:9">
      <c r="A244" s="32"/>
      <c r="B244" s="34"/>
      <c r="C244" s="34"/>
      <c r="D244" s="34"/>
      <c r="E244" s="32"/>
      <c r="F244" s="32"/>
      <c r="G244" s="32"/>
      <c r="H244" s="32"/>
      <c r="I244" s="35"/>
    </row>
    <row r="245" spans="1:9">
      <c r="A245" s="32"/>
      <c r="B245" s="34"/>
      <c r="C245" s="34"/>
      <c r="D245" s="34"/>
      <c r="E245" s="32"/>
      <c r="F245" s="32"/>
      <c r="G245" s="32"/>
      <c r="H245" s="32"/>
      <c r="I245" s="35"/>
    </row>
    <row r="246" spans="1:9">
      <c r="A246" s="32"/>
      <c r="B246" s="34"/>
      <c r="C246" s="34"/>
      <c r="D246" s="34"/>
      <c r="E246" s="32"/>
      <c r="F246" s="32"/>
      <c r="G246" s="32"/>
      <c r="H246" s="32"/>
      <c r="I246" s="35"/>
    </row>
    <row r="247" spans="1:9">
      <c r="A247" s="32"/>
      <c r="B247" s="34"/>
      <c r="C247" s="34"/>
      <c r="D247" s="34"/>
      <c r="E247" s="32"/>
      <c r="F247" s="32"/>
      <c r="G247" s="32"/>
      <c r="H247" s="32"/>
      <c r="I247" s="35"/>
    </row>
    <row r="248" spans="1:9">
      <c r="A248" s="32"/>
      <c r="B248" s="34"/>
      <c r="C248" s="34"/>
      <c r="D248" s="34"/>
      <c r="E248" s="32"/>
      <c r="F248" s="32"/>
      <c r="G248" s="32"/>
      <c r="H248" s="32"/>
      <c r="I248" s="35"/>
    </row>
    <row r="249" spans="1:9">
      <c r="A249" s="32"/>
      <c r="B249" s="34"/>
      <c r="C249" s="34"/>
      <c r="D249" s="34"/>
      <c r="E249" s="32"/>
      <c r="F249" s="32"/>
      <c r="G249" s="32"/>
      <c r="H249" s="32"/>
      <c r="I249" s="35"/>
    </row>
    <row r="250" spans="1:9">
      <c r="A250" s="32"/>
      <c r="B250" s="34"/>
      <c r="C250" s="34"/>
      <c r="D250" s="34"/>
      <c r="E250" s="32"/>
      <c r="F250" s="32"/>
      <c r="G250" s="32"/>
      <c r="H250" s="32"/>
      <c r="I250" s="35"/>
    </row>
    <row r="251" spans="1:9">
      <c r="A251" s="32"/>
      <c r="B251" s="34"/>
      <c r="C251" s="34"/>
      <c r="D251" s="34"/>
      <c r="E251" s="32"/>
      <c r="F251" s="32"/>
      <c r="G251" s="32"/>
      <c r="H251" s="32"/>
      <c r="I251" s="35"/>
    </row>
    <row r="252" spans="1:9">
      <c r="A252" s="32"/>
      <c r="B252" s="34"/>
      <c r="C252" s="34"/>
      <c r="D252" s="34"/>
      <c r="E252" s="32"/>
      <c r="F252" s="32"/>
      <c r="G252" s="32"/>
      <c r="H252" s="32"/>
      <c r="I252" s="35"/>
    </row>
    <row r="253" spans="1:9">
      <c r="A253" s="32"/>
      <c r="B253" s="34"/>
      <c r="C253" s="34"/>
      <c r="D253" s="34"/>
      <c r="E253" s="32"/>
      <c r="F253" s="32"/>
      <c r="G253" s="32"/>
      <c r="H253" s="32"/>
      <c r="I253" s="35"/>
    </row>
    <row r="254" spans="1:9">
      <c r="A254" s="32"/>
      <c r="B254" s="34"/>
      <c r="C254" s="34"/>
      <c r="D254" s="34"/>
      <c r="E254" s="32"/>
      <c r="F254" s="32"/>
      <c r="G254" s="32"/>
      <c r="H254" s="32"/>
      <c r="I254" s="35"/>
    </row>
    <row r="255" spans="1:9">
      <c r="A255" s="32"/>
      <c r="B255" s="34"/>
      <c r="C255" s="34"/>
      <c r="D255" s="34"/>
      <c r="E255" s="32"/>
      <c r="F255" s="32"/>
      <c r="G255" s="32"/>
      <c r="H255" s="32"/>
      <c r="I255" s="35"/>
    </row>
    <row r="256" spans="1:9">
      <c r="A256" s="32"/>
      <c r="B256" s="34"/>
      <c r="C256" s="34"/>
      <c r="D256" s="34"/>
      <c r="E256" s="32"/>
      <c r="F256" s="32"/>
      <c r="G256" s="32"/>
      <c r="H256" s="32"/>
      <c r="I256" s="35"/>
    </row>
    <row r="257" spans="1:9">
      <c r="A257" s="32"/>
      <c r="B257" s="34"/>
      <c r="C257" s="34"/>
      <c r="D257" s="34"/>
      <c r="E257" s="32"/>
      <c r="F257" s="32"/>
      <c r="G257" s="32"/>
      <c r="H257" s="32"/>
      <c r="I257" s="35"/>
    </row>
    <row r="258" spans="1:9">
      <c r="A258" s="32"/>
      <c r="B258" s="34"/>
      <c r="C258" s="34"/>
      <c r="D258" s="34"/>
      <c r="E258" s="32"/>
      <c r="F258" s="32"/>
      <c r="G258" s="32"/>
      <c r="H258" s="32"/>
      <c r="I258" s="35"/>
    </row>
    <row r="259" spans="1:9">
      <c r="A259" s="32"/>
      <c r="B259" s="34"/>
      <c r="C259" s="34"/>
      <c r="D259" s="34"/>
      <c r="E259" s="32"/>
      <c r="F259" s="32"/>
      <c r="G259" s="32"/>
      <c r="H259" s="32"/>
      <c r="I259" s="35"/>
    </row>
    <row r="260" spans="1:9">
      <c r="A260" s="32"/>
      <c r="B260" s="34"/>
      <c r="C260" s="34"/>
      <c r="D260" s="34"/>
      <c r="E260" s="32"/>
      <c r="F260" s="32"/>
      <c r="G260" s="32"/>
      <c r="H260" s="32"/>
      <c r="I260" s="35"/>
    </row>
    <row r="261" spans="1:9">
      <c r="A261" s="32"/>
      <c r="B261" s="34"/>
      <c r="C261" s="34"/>
      <c r="D261" s="34"/>
      <c r="E261" s="32"/>
      <c r="F261" s="32"/>
      <c r="G261" s="32"/>
      <c r="H261" s="32"/>
      <c r="I261" s="35"/>
    </row>
    <row r="262" spans="1:9">
      <c r="A262" s="32"/>
      <c r="B262" s="34"/>
      <c r="C262" s="34"/>
      <c r="D262" s="34"/>
      <c r="E262" s="32"/>
      <c r="F262" s="32"/>
      <c r="G262" s="32"/>
      <c r="H262" s="32"/>
      <c r="I262" s="35"/>
    </row>
    <row r="263" spans="1:9">
      <c r="A263" s="32"/>
      <c r="B263" s="34"/>
      <c r="C263" s="34"/>
      <c r="D263" s="34"/>
      <c r="E263" s="32"/>
      <c r="F263" s="32"/>
      <c r="G263" s="32"/>
      <c r="H263" s="32"/>
      <c r="I263" s="35"/>
    </row>
    <row r="264" spans="1:9">
      <c r="A264" s="32"/>
      <c r="B264" s="34"/>
      <c r="C264" s="34"/>
      <c r="D264" s="34"/>
      <c r="E264" s="32"/>
      <c r="F264" s="32"/>
      <c r="G264" s="32"/>
      <c r="H264" s="32"/>
      <c r="I264" s="35"/>
    </row>
    <row r="265" spans="1:9">
      <c r="A265" s="32"/>
      <c r="B265" s="34"/>
      <c r="C265" s="34"/>
      <c r="D265" s="34"/>
      <c r="E265" s="32"/>
      <c r="F265" s="32"/>
      <c r="G265" s="32"/>
      <c r="H265" s="32"/>
      <c r="I265" s="35"/>
    </row>
    <row r="266" spans="1:9">
      <c r="A266" s="32"/>
      <c r="B266" s="34"/>
      <c r="C266" s="34"/>
      <c r="D266" s="34"/>
      <c r="E266" s="32"/>
      <c r="F266" s="32"/>
      <c r="G266" s="32"/>
      <c r="H266" s="32"/>
      <c r="I266" s="35"/>
    </row>
    <row r="267" spans="1:9">
      <c r="A267" s="32"/>
      <c r="B267" s="34"/>
      <c r="C267" s="34"/>
      <c r="D267" s="34"/>
      <c r="E267" s="32"/>
      <c r="F267" s="32"/>
      <c r="G267" s="32"/>
      <c r="H267" s="32"/>
      <c r="I267" s="35"/>
    </row>
    <row r="268" spans="1:9">
      <c r="A268" s="32"/>
      <c r="B268" s="34"/>
      <c r="C268" s="34"/>
      <c r="D268" s="34"/>
      <c r="E268" s="32"/>
      <c r="F268" s="32"/>
      <c r="G268" s="32"/>
      <c r="H268" s="32"/>
      <c r="I268" s="35"/>
    </row>
    <row r="269" spans="1:9">
      <c r="A269" s="32"/>
      <c r="B269" s="34"/>
      <c r="C269" s="34"/>
      <c r="D269" s="34"/>
      <c r="E269" s="32"/>
      <c r="F269" s="32"/>
      <c r="G269" s="32"/>
      <c r="H269" s="32"/>
      <c r="I269" s="35"/>
    </row>
    <row r="270" spans="1:9">
      <c r="A270" s="32"/>
      <c r="B270" s="34"/>
      <c r="C270" s="34"/>
      <c r="D270" s="34"/>
      <c r="E270" s="32"/>
      <c r="F270" s="32"/>
      <c r="G270" s="32"/>
      <c r="H270" s="32"/>
      <c r="I270" s="35"/>
    </row>
    <row r="271" spans="1:9">
      <c r="A271" s="32"/>
      <c r="B271" s="34"/>
      <c r="C271" s="34"/>
      <c r="D271" s="34"/>
      <c r="E271" s="32"/>
      <c r="F271" s="32"/>
      <c r="G271" s="32"/>
      <c r="H271" s="32"/>
      <c r="I271" s="35"/>
    </row>
    <row r="272" spans="1:9">
      <c r="A272" s="32"/>
      <c r="B272" s="34"/>
      <c r="C272" s="34"/>
      <c r="D272" s="34"/>
      <c r="E272" s="32"/>
      <c r="F272" s="32"/>
      <c r="G272" s="32"/>
      <c r="H272" s="32"/>
      <c r="I272" s="35"/>
    </row>
    <row r="273" spans="1:9">
      <c r="A273" s="32"/>
      <c r="B273" s="34"/>
      <c r="C273" s="34"/>
      <c r="D273" s="34"/>
      <c r="E273" s="32"/>
      <c r="F273" s="32"/>
      <c r="G273" s="32"/>
      <c r="H273" s="32"/>
      <c r="I273" s="35"/>
    </row>
    <row r="274" spans="1:9">
      <c r="A274" s="32"/>
      <c r="B274" s="34"/>
      <c r="C274" s="34"/>
      <c r="D274" s="34"/>
      <c r="E274" s="32"/>
      <c r="F274" s="32"/>
      <c r="G274" s="32"/>
      <c r="H274" s="32"/>
      <c r="I274" s="35"/>
    </row>
    <row r="275" spans="1:9">
      <c r="A275" s="32"/>
      <c r="B275" s="34"/>
      <c r="C275" s="34"/>
      <c r="D275" s="34"/>
      <c r="E275" s="32"/>
      <c r="F275" s="32"/>
      <c r="G275" s="32"/>
      <c r="H275" s="32"/>
      <c r="I275" s="35"/>
    </row>
    <row r="276" spans="1:9">
      <c r="A276" s="32"/>
      <c r="B276" s="34"/>
      <c r="C276" s="34"/>
      <c r="D276" s="34"/>
      <c r="E276" s="32"/>
      <c r="F276" s="32"/>
      <c r="G276" s="32"/>
      <c r="H276" s="32"/>
      <c r="I276" s="35"/>
    </row>
    <row r="277" spans="1:9">
      <c r="A277" s="32"/>
      <c r="B277" s="34"/>
      <c r="C277" s="34"/>
      <c r="D277" s="34"/>
      <c r="E277" s="32"/>
      <c r="F277" s="32"/>
      <c r="G277" s="32"/>
      <c r="H277" s="32"/>
      <c r="I277" s="35"/>
    </row>
    <row r="278" spans="1:9">
      <c r="A278" s="32"/>
      <c r="B278" s="34"/>
      <c r="C278" s="34"/>
      <c r="D278" s="34"/>
      <c r="E278" s="32"/>
      <c r="F278" s="32"/>
      <c r="G278" s="32"/>
      <c r="H278" s="32"/>
      <c r="I278" s="35"/>
    </row>
    <row r="279" spans="1:9">
      <c r="A279" s="32"/>
      <c r="B279" s="34"/>
      <c r="C279" s="34"/>
      <c r="D279" s="34"/>
      <c r="E279" s="32"/>
      <c r="F279" s="32"/>
      <c r="G279" s="32"/>
      <c r="H279" s="32"/>
      <c r="I279" s="35"/>
    </row>
    <row r="280" spans="1:9">
      <c r="A280" s="32"/>
      <c r="B280" s="34"/>
      <c r="C280" s="34"/>
      <c r="D280" s="34"/>
      <c r="E280" s="32"/>
      <c r="F280" s="32"/>
      <c r="G280" s="32"/>
      <c r="H280" s="32"/>
      <c r="I280" s="35"/>
    </row>
    <row r="281" spans="1:9">
      <c r="A281" s="32"/>
      <c r="B281" s="34"/>
      <c r="C281" s="34"/>
      <c r="D281" s="34"/>
      <c r="E281" s="32"/>
      <c r="F281" s="32"/>
      <c r="G281" s="32"/>
      <c r="H281" s="32"/>
      <c r="I281" s="35"/>
    </row>
  </sheetData>
  <sheetProtection algorithmName="SHA-512" hashValue="1vpyUgDcUtJh27S6yGxEWNJT6yx55H4ih6Lmy1a37VgX3xRSoJmFWHCYqsuDlM926E39/PcSEuFgcKpRtH55og==" saltValue="0OueiymbDQ5sNVdT+XEnDg==" spinCount="100000" sheet="1" objects="1" scenarios="1" sort="0"/>
  <protectedRanges>
    <protectedRange algorithmName="SHA-512" hashValue="mkitlIgmdl4cf5xHCIL2+BOU1vcboINnE+iA7SUlF/qEvRFghsAMiZhqFdZk4LkDW4K5P+JZ1chRmG9fe6pUbg==" saltValue="jPQJ2rfMBsEdc4wcd0QBfQ==" spinCount="100000" sqref="A5:A45 B5:I189" name="Range1"/>
  </protectedRanges>
  <sortState xmlns:xlrd2="http://schemas.microsoft.com/office/spreadsheetml/2017/richdata2" ref="A5:I24">
    <sortCondition ref="A5:A24"/>
  </sortState>
  <mergeCells count="1">
    <mergeCell ref="A1:I3"/>
  </mergeCells>
  <conditionalFormatting sqref="A5:A189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89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Andrej Galád</cp:lastModifiedBy>
  <cp:revision/>
  <dcterms:created xsi:type="dcterms:W3CDTF">2023-04-24T08:39:50Z</dcterms:created>
  <dcterms:modified xsi:type="dcterms:W3CDTF">2026-02-04T09:50:38Z</dcterms:modified>
  <cp:category/>
  <cp:contentStatus/>
</cp:coreProperties>
</file>